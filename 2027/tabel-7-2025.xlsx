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oten124-my.sharepoint.com/personal/cvs_koten_dk/Documents/Koten - Docs/04 - Materialer/"/>
    </mc:Choice>
  </mc:AlternateContent>
  <xr:revisionPtr revIDLastSave="10" documentId="8_{283F3CB2-7686-4EBF-8957-F217B9D2980D}" xr6:coauthVersionLast="47" xr6:coauthVersionMax="47" xr10:uidLastSave="{84A178EF-6979-4C3D-BA67-D8F552B26F39}"/>
  <bookViews>
    <workbookView xWindow="-120" yWindow="-120" windowWidth="29040" windowHeight="17520" xr2:uid="{00000000-000D-0000-FFFF-FFFF00000000}"/>
  </bookViews>
  <sheets>
    <sheet name="Sheet1" sheetId="1" r:id="rId1"/>
    <sheet name="product_nodes_new_id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</calcChain>
</file>

<file path=xl/sharedStrings.xml><?xml version="1.0" encoding="utf-8"?>
<sst xmlns="http://schemas.openxmlformats.org/spreadsheetml/2006/main" count="4863" uniqueCount="2522">
  <si>
    <t>Sorterings ID</t>
  </si>
  <si>
    <t>Data type</t>
  </si>
  <si>
    <t>Navn DE/ENG</t>
  </si>
  <si>
    <t>Navn DK</t>
  </si>
  <si>
    <t>Global Opvarmning, modul A1-A3</t>
  </si>
  <si>
    <t>Global Opvarmning, modul C3</t>
  </si>
  <si>
    <t>Global Opvarmning, modul C4</t>
  </si>
  <si>
    <t>Global Opvarmning, modul D</t>
  </si>
  <si>
    <t>Deklareret faktor (FU)</t>
  </si>
  <si>
    <t>Deklareret enhed (FU)</t>
  </si>
  <si>
    <t>Masse faktor</t>
  </si>
  <si>
    <t>Url (link)</t>
  </si>
  <si>
    <t>Kommentar</t>
  </si>
  <si>
    <t>#B1632</t>
  </si>
  <si>
    <t>Branche data</t>
  </si>
  <si>
    <t>Circular ventilation ducts</t>
  </si>
  <si>
    <t>Cirkulære ventilationskanaler af galvaniseret stål</t>
  </si>
  <si>
    <t>kg</t>
  </si>
  <si>
    <t>kg/kg</t>
  </si>
  <si>
    <t>https://www.epddanmark.dk/media/xvdjagkr/md-23022-en.pdf</t>
  </si>
  <si>
    <t>#B1633</t>
  </si>
  <si>
    <t>https://www.epddanmark.dk/media/oe1b3bgs/md-23023-en.pdf</t>
  </si>
  <si>
    <t>-</t>
  </si>
  <si>
    <t>Trævindue med 3-lags rude</t>
  </si>
  <si>
    <t>m²</t>
  </si>
  <si>
    <t>kg/m²</t>
  </si>
  <si>
    <t>https://www.epddanmark.dk/media/4pnfnax3/md-22039-da.pdf</t>
  </si>
  <si>
    <t>Plastvindue med glasfiberforstærket profil (FRP) og 3-lags rude</t>
  </si>
  <si>
    <t>https://www.epddanmark.dk/media/msth4oem/md-22042-da.pdf</t>
  </si>
  <si>
    <t>Træ-alu vindue med 3-lags rude</t>
  </si>
  <si>
    <t>https://www.epddanmark.dk/media/m2bfi4ei/md-22040-da.pdf</t>
  </si>
  <si>
    <t>Plastvindue i hård PVC med stålindlæg i profilet og 3-lags rude</t>
  </si>
  <si>
    <t>https://www.epddanmark.dk/media/44tddsrk/md-22041-da.pdf</t>
  </si>
  <si>
    <t>#B1397</t>
  </si>
  <si>
    <t>Letbeton vægelement, 100 mm tyk væg, 10% udsparinger</t>
  </si>
  <si>
    <t>https://www.epddanmark.dk/media/niyexcvm/md-20016-da_rev1-betonelement-foreningen.pdf</t>
  </si>
  <si>
    <t>#B1401</t>
  </si>
  <si>
    <t>Letbeton vægelement, 150 mm tyk væg, 10% udsparinger</t>
  </si>
  <si>
    <t>#B1413</t>
  </si>
  <si>
    <t>TT-element/Ribbedæk, TTS90 med 16-22 STK. L12,5 liner, og 1-2,5 kg slap armering</t>
  </si>
  <si>
    <t>https://www.epddanmark.dk/media/jylpjfbu/md-20018-da_rev2.pdf</t>
  </si>
  <si>
    <t>#B1385</t>
  </si>
  <si>
    <t>Beton vægelementer, 15 cm tyk væg med 5-15 kg armering  (11% udsparinger)</t>
  </si>
  <si>
    <t>https://www.epddanmark.dk/media/oq0dzm1j/md-20015-da_rev1-betonelement-foreningen.pdf</t>
  </si>
  <si>
    <t>#B1409</t>
  </si>
  <si>
    <t>TT-element/Ribbedæk, TT60 med 12-18 STK. L12,5 liner, og 1,3-3,3 kg slap armering</t>
  </si>
  <si>
    <t>#B1417</t>
  </si>
  <si>
    <t>TT-element/Ribbedæk, TT60 med 20-28 STK. L12,5 liner, og 2-4 kg slap armering</t>
  </si>
  <si>
    <t>#B1346</t>
  </si>
  <si>
    <t>Huldæk element, 22 cm, 6-10 forspændingsliner</t>
  </si>
  <si>
    <t>https://www.epddanmark.dk/media/ksolk4dz/md-20017-da_rev2-betonelement-foreningen.pdf</t>
  </si>
  <si>
    <t>#B1405</t>
  </si>
  <si>
    <t>Letbeton vægelement, 220 mm tyk væg, 10% udsparinger</t>
  </si>
  <si>
    <t>#B1389</t>
  </si>
  <si>
    <t>Beton vægelementer, 20 cm tyk væg med 5-15 kg armering (11% udsparinger)</t>
  </si>
  <si>
    <t>#B1393</t>
  </si>
  <si>
    <t>Beton vægelementer, 20 cm tyk væg med 16-25 kg armering (11% udsparinger)</t>
  </si>
  <si>
    <t>#B1354</t>
  </si>
  <si>
    <t>Huldæk element, 32 cm, 11-17 forspændingsliner</t>
  </si>
  <si>
    <t>#B1350</t>
  </si>
  <si>
    <t>Huldæk element, 32 cm, 6-10 forspændingsliner</t>
  </si>
  <si>
    <t>#B1381</t>
  </si>
  <si>
    <t>Sandwichelement med EPS (Facade)</t>
  </si>
  <si>
    <t>https://www.epddanmark.dk/media/0bpbhpbl/md-20019-da_rev2.pdf</t>
  </si>
  <si>
    <t>#B1377</t>
  </si>
  <si>
    <t>Sandwichelement med mineraluld (Facade)</t>
  </si>
  <si>
    <t>#B1366</t>
  </si>
  <si>
    <t>Letklinkerblok med grå EPS isolering</t>
  </si>
  <si>
    <t>m³</t>
  </si>
  <si>
    <t>kg/m³</t>
  </si>
  <si>
    <t>https://www.epddanmark.dk/media/n5xnbcl5/md-20023-da_rev1-dansk-beton-blokforeningen.pdf</t>
  </si>
  <si>
    <t>#B1362</t>
  </si>
  <si>
    <t>Letklinkerblok med hvid EPS isolering</t>
  </si>
  <si>
    <t>#B1370</t>
  </si>
  <si>
    <t>Konstruktionstræ af fyr og gran, Høvlet (Forbrænding EoL)</t>
  </si>
  <si>
    <t>https://www.epddanmark.dk/media/l4zjf2xp/md-20004-en_rev1_tr%c3%a6dk.pdf</t>
  </si>
  <si>
    <t>#B1489</t>
  </si>
  <si>
    <t>Konstruktionstræ af fyr og gran, Savede og tørrede (Forbrænding EoL)</t>
  </si>
  <si>
    <t>https://www.epddanmark.dk/media/vf0jy3ur/md-20002-en-tr%C3%A6-dk-c-o-tr%C3%A6-og-m%C3%B8belindustrien.pdf</t>
  </si>
  <si>
    <t>#B1318</t>
  </si>
  <si>
    <t>Krydslamineret træ, CLT (Forbrænding EoL)</t>
  </si>
  <si>
    <t>https://www.epddanmark.dk/media/tmwhxyym/md-20007-en_rev1_tr%c3%a6dk.pdf</t>
  </si>
  <si>
    <t>#B1496</t>
  </si>
  <si>
    <t>Krydsfiner, ubehandlet (Forbrænding EoL)</t>
  </si>
  <si>
    <t>https://www.epddanmark.dk/media/luijc3vg/md-20008-en_rev2_tr%c3%a6dk.pdf</t>
  </si>
  <si>
    <t>#B1339</t>
  </si>
  <si>
    <t>Limtræs-produkter af fyr og gran, (Forbrænding EoL)</t>
  </si>
  <si>
    <t>https://www.epddanmark.dk/media/hzjhj3s2/md-20005-en_rev1_tr%c3%a6dk.pdf</t>
  </si>
  <si>
    <t>#B1325</t>
  </si>
  <si>
    <t>Konstruktionstræ af nåletræ, Høvlet (Forbrænding EoL)</t>
  </si>
  <si>
    <t>https://www.epddanmark.dk/media/4p1frhby/md-20003-en-tr%c3%a6-dk-c-o-tr%c3%a6-og-m%c3%b8belindustrien.pdf</t>
  </si>
  <si>
    <t>#B1358</t>
  </si>
  <si>
    <t>Letklinkerblok, Massiv</t>
  </si>
  <si>
    <t>#B1332</t>
  </si>
  <si>
    <t>Konstruktionstræ af nåletræ, utørret og opsavet (Forbrænding EoL)</t>
  </si>
  <si>
    <t>https://www.epddanmark.dk/media/oxujrihc/md-20001-en-tr%c3%a6-dk-c-o-tr%c3%a6-og-m%c3%b8belindustrien.pdf</t>
  </si>
  <si>
    <t>#B1425</t>
  </si>
  <si>
    <t>Fabriksbeton (C20/25 SCC) i eksponeringsklasserne X0 og XC1</t>
  </si>
  <si>
    <t>https://www.epddanmark.dk/media/qoelm3vd/md-20011-da_rev1-dansk-beton-fabriksbetonforeningen.pdf</t>
  </si>
  <si>
    <t>#B1469</t>
  </si>
  <si>
    <t>Fabriksbeton C45/55</t>
  </si>
  <si>
    <t>https://www.epddanmark.dk/media/oz1jfz20/md-20014-da_rev1-dansk-beton-fabriksbetonforeningen.pdf</t>
  </si>
  <si>
    <t>#B1433</t>
  </si>
  <si>
    <t>Fabriksbeton (C25/30) i eksponeringsklasserne X0 og XC1</t>
  </si>
  <si>
    <t>#B1485</t>
  </si>
  <si>
    <t>Fabriksbeton C35/45 SCC</t>
  </si>
  <si>
    <t>https://www.epddanmark.dk/media/c3alzank/md-20012-da_rev1-dansk-beton-fabriksbetonforeningen.pdf</t>
  </si>
  <si>
    <t>#B1477</t>
  </si>
  <si>
    <t>Fabriksbeton C30/37</t>
  </si>
  <si>
    <t>#B1445</t>
  </si>
  <si>
    <t>Fabriksbeton C35/45 (fugebeton)</t>
  </si>
  <si>
    <t>https://www.epddanmark.dk/media/nvwgry4v/md-20013-da_rev1-dansk-beton-fabriksbetonforeningen.pdf</t>
  </si>
  <si>
    <t>#B1441</t>
  </si>
  <si>
    <t>Fabriksbeton C35/45 – CEM I</t>
  </si>
  <si>
    <t>#B1461</t>
  </si>
  <si>
    <t>Fabriksbeton C40/50 – CEM I</t>
  </si>
  <si>
    <t>#B1453</t>
  </si>
  <si>
    <t>Fabriksbeton C40/50 – CEM I SR-5</t>
  </si>
  <si>
    <t>#B1437</t>
  </si>
  <si>
    <t>Fabriksbeton C35/45 – CEM I SR-5</t>
  </si>
  <si>
    <t>#B1637</t>
  </si>
  <si>
    <t>Small AHU’s with airflow 3000 m3/hr</t>
  </si>
  <si>
    <t>Ventilations aggregater (AHU), 3000m3/h </t>
  </si>
  <si>
    <t>stk</t>
  </si>
  <si>
    <t>kg/stk.</t>
  </si>
  <si>
    <t>https://www.epddanmark.dk/media/43kpnonw/md-23024-en.pdf</t>
  </si>
  <si>
    <t>#B1638</t>
  </si>
  <si>
    <t>Large AHU’s with airflow 15,000 m3/hr</t>
  </si>
  <si>
    <t>Ventilations aggregater (AHU), 15000m3/h </t>
  </si>
  <si>
    <t>#D1586</t>
  </si>
  <si>
    <t>Dansk generisk data</t>
  </si>
  <si>
    <t xml:space="preserve">Fugemasse, Silikone </t>
  </si>
  <si>
    <t>g/cm³</t>
  </si>
  <si>
    <t>https://vbn.aau.dk/da/publications/udvikling-af-dansk-generisk-lca-data?</t>
  </si>
  <si>
    <t>#D1587</t>
  </si>
  <si>
    <t>Vådrumsmembran</t>
  </si>
  <si>
    <t>#D1588</t>
  </si>
  <si>
    <t>Primere og bindere</t>
  </si>
  <si>
    <t>#D1589</t>
  </si>
  <si>
    <t>Montagelim</t>
  </si>
  <si>
    <t>#D1568</t>
  </si>
  <si>
    <t>PU fugeskum</t>
  </si>
  <si>
    <t>#D1601</t>
  </si>
  <si>
    <t>Epoxy gulvsystem</t>
  </si>
  <si>
    <t>kg/dm³</t>
  </si>
  <si>
    <t>#D1603</t>
  </si>
  <si>
    <t>Fjernvarmeanlæg</t>
  </si>
  <si>
    <t>#D1623</t>
  </si>
  <si>
    <t>Papiruldsisolering, granulat</t>
  </si>
  <si>
    <t>#D1531</t>
  </si>
  <si>
    <t>Træfiberplade, vindspærre</t>
  </si>
  <si>
    <t>#D1585</t>
  </si>
  <si>
    <t>Flisefuge</t>
  </si>
  <si>
    <t>#D1582</t>
  </si>
  <si>
    <t>Mørtel, fliseklæb</t>
  </si>
  <si>
    <t>#D1584</t>
  </si>
  <si>
    <t>Støbemasse</t>
  </si>
  <si>
    <t>#D1616</t>
  </si>
  <si>
    <t>Tagrende, stål</t>
  </si>
  <si>
    <t>m</t>
  </si>
  <si>
    <t>kg/m</t>
  </si>
  <si>
    <t>#D1614</t>
  </si>
  <si>
    <t>Betonrør, u-armeret</t>
  </si>
  <si>
    <t>#D1608</t>
  </si>
  <si>
    <t>PEX rør, brugsvand, rør i rør, 12 mm</t>
  </si>
  <si>
    <t>m (12 mm)</t>
  </si>
  <si>
    <t>#D1609</t>
  </si>
  <si>
    <t>PEX rør, brugsvand, rør i rør, 15 mm</t>
  </si>
  <si>
    <t>m (15 mm)</t>
  </si>
  <si>
    <t>#D1612</t>
  </si>
  <si>
    <t>PEX rør, gulvvarme, 16 mm</t>
  </si>
  <si>
    <t>m (16 mm)</t>
  </si>
  <si>
    <t>#D1610</t>
  </si>
  <si>
    <t>PEX rør, brugsvand, rør i rør, 18 mm</t>
  </si>
  <si>
    <t>m (18 mm)</t>
  </si>
  <si>
    <t>#D1613</t>
  </si>
  <si>
    <t>PEX rør, gulvvarme, 20 mm</t>
  </si>
  <si>
    <t>m (20 mm)</t>
  </si>
  <si>
    <t>#D1611</t>
  </si>
  <si>
    <t>PEX rør, brugsvand, rør i rør, 22 mm</t>
  </si>
  <si>
    <t>m (22 mm)</t>
  </si>
  <si>
    <t>#D1506</t>
  </si>
  <si>
    <t>Undertag, PP-membran</t>
  </si>
  <si>
    <t>#D1602</t>
  </si>
  <si>
    <t>Vinyl</t>
  </si>
  <si>
    <t>#D1504</t>
  </si>
  <si>
    <t>Tagpap, damp- og flammespærre</t>
  </si>
  <si>
    <t>#D1606</t>
  </si>
  <si>
    <t>Solcellepanel, tyndfilm</t>
  </si>
  <si>
    <t>#D1503</t>
  </si>
  <si>
    <t>Tagpap, underpap</t>
  </si>
  <si>
    <t>#D1502</t>
  </si>
  <si>
    <t>Tagpap, overpap</t>
  </si>
  <si>
    <t>#D1607</t>
  </si>
  <si>
    <t>Solafskærmning, screen</t>
  </si>
  <si>
    <t>#D1520</t>
  </si>
  <si>
    <t>Gipsplade, vindspærre</t>
  </si>
  <si>
    <t>#D1516</t>
  </si>
  <si>
    <t>Gipsplade, let</t>
  </si>
  <si>
    <t>#D1524</t>
  </si>
  <si>
    <t>Akustikpanel, trælister på filt</t>
  </si>
  <si>
    <t>#D1515</t>
  </si>
  <si>
    <t>Gipsplade, standard</t>
  </si>
  <si>
    <t>#D1517</t>
  </si>
  <si>
    <t>Gipsplade, vådrum</t>
  </si>
  <si>
    <t>#D1519</t>
  </si>
  <si>
    <t>Gipsplade, akustik</t>
  </si>
  <si>
    <t>#D1518</t>
  </si>
  <si>
    <t>Gipsplade, glasfiberarmeret</t>
  </si>
  <si>
    <t>#D1521</t>
  </si>
  <si>
    <t>Gipsplade, brand</t>
  </si>
  <si>
    <t>#D1501</t>
  </si>
  <si>
    <t>Tagpap, overpap + underpap</t>
  </si>
  <si>
    <t>#D1605</t>
  </si>
  <si>
    <t>Solcellepanel, polykrystallinsk</t>
  </si>
  <si>
    <t>#D1514</t>
  </si>
  <si>
    <t>Fibercementplade</t>
  </si>
  <si>
    <t>#D1604</t>
  </si>
  <si>
    <t>Solcellepanel, monokrystallinsk</t>
  </si>
  <si>
    <t>#D1527</t>
  </si>
  <si>
    <t>Glasvægge inkl. montering, tykkelse mindre end 15 mm</t>
  </si>
  <si>
    <t>#D1500</t>
  </si>
  <si>
    <t>Tagsten, beton</t>
  </si>
  <si>
    <t>#D1528</t>
  </si>
  <si>
    <t>Glasvægge inkl. montering, tykkelse 15 til 19 mm</t>
  </si>
  <si>
    <t>#D1529</t>
  </si>
  <si>
    <t>Glasvægge inkl. montering, tykkelse 20 til 25 mm</t>
  </si>
  <si>
    <t>#D1530</t>
  </si>
  <si>
    <t>Glasvægge inkl. montering, tykkelse 26 til 45 mm</t>
  </si>
  <si>
    <t>#D1526</t>
  </si>
  <si>
    <t>Akustikpanel, glasuld, tekstil, 40 mm</t>
  </si>
  <si>
    <t>#D1617</t>
  </si>
  <si>
    <t>Akustikpanel, ålegræs</t>
  </si>
  <si>
    <t>#D1618</t>
  </si>
  <si>
    <t>Akustikpanel, ålegræs, brandhæmmende</t>
  </si>
  <si>
    <t>#D1525</t>
  </si>
  <si>
    <t>Akustikpanel, glasuld, tekstil, 20 mm</t>
  </si>
  <si>
    <t>#D1599</t>
  </si>
  <si>
    <t>Beton belægningssten</t>
  </si>
  <si>
    <t>#D1629</t>
  </si>
  <si>
    <t>Træfiberplade, trinlyd, tykkelse 30 - 40 mm</t>
  </si>
  <si>
    <t>#D1522</t>
  </si>
  <si>
    <t>Akustikpanel, træbeton, umalet</t>
  </si>
  <si>
    <t>#D1523</t>
  </si>
  <si>
    <t>Akustikpanel, træbeton, malet</t>
  </si>
  <si>
    <t>#D1630</t>
  </si>
  <si>
    <t>#D1631</t>
  </si>
  <si>
    <t>#D1559</t>
  </si>
  <si>
    <t>m² with R=1 m²K/W</t>
  </si>
  <si>
    <t>#D1560</t>
  </si>
  <si>
    <t>#D1556</t>
  </si>
  <si>
    <t>#D1557</t>
  </si>
  <si>
    <t>#D1561</t>
  </si>
  <si>
    <t>#D1545</t>
  </si>
  <si>
    <t>Mineraluld, granulat, kl. 37</t>
  </si>
  <si>
    <t>#D1544</t>
  </si>
  <si>
    <t>Mineraluld, granulat, kl. 34</t>
  </si>
  <si>
    <t>#D1546</t>
  </si>
  <si>
    <t>Mineraluld, granulat, kl. 42</t>
  </si>
  <si>
    <t>#D1534</t>
  </si>
  <si>
    <t>Mineraluld, fleksibel isolering, kl. 34</t>
  </si>
  <si>
    <t>#D1533</t>
  </si>
  <si>
    <t>Mineraluld, fleksibel isolering, kl. 32</t>
  </si>
  <si>
    <t>#D1541</t>
  </si>
  <si>
    <t>Mineraluld, murbatts, kl. 37</t>
  </si>
  <si>
    <t>#D1535</t>
  </si>
  <si>
    <t>Mineraluld, fleksibel isolering, kl. 37</t>
  </si>
  <si>
    <t>#D1537</t>
  </si>
  <si>
    <t>Mineraluld, hård isolering, kl. 37</t>
  </si>
  <si>
    <t>#D1543</t>
  </si>
  <si>
    <t>Mineraluld, granulat, kl. 32</t>
  </si>
  <si>
    <t>#D1566</t>
  </si>
  <si>
    <t>PIR Isolering</t>
  </si>
  <si>
    <t>#D1565</t>
  </si>
  <si>
    <t>#D1567</t>
  </si>
  <si>
    <t>Fenolskum, plade</t>
  </si>
  <si>
    <t>#D1620</t>
  </si>
  <si>
    <t>Isoleringsplade, hamp</t>
  </si>
  <si>
    <t>#D1540</t>
  </si>
  <si>
    <t>Mineraluld, murbatts, kl. 34</t>
  </si>
  <si>
    <t>#D1626</t>
  </si>
  <si>
    <t>Træfiberisolering, løsuld</t>
  </si>
  <si>
    <t>#D1558</t>
  </si>
  <si>
    <t>#D1622</t>
  </si>
  <si>
    <t>Isoleringsplade, græs</t>
  </si>
  <si>
    <t>#D1552</t>
  </si>
  <si>
    <t>Mineraluld, teknisk isolering</t>
  </si>
  <si>
    <t>#D1539</t>
  </si>
  <si>
    <t>Mineraluld, murbatts, kl. 32</t>
  </si>
  <si>
    <t>#D1627</t>
  </si>
  <si>
    <t>Træfiberisolering, plade</t>
  </si>
  <si>
    <t>#D1532</t>
  </si>
  <si>
    <t>Mineraluld, fleksibel isolering, kl. 30</t>
  </si>
  <si>
    <t>#D1536</t>
  </si>
  <si>
    <t>Mineraluld, hård isolering, kl. 34</t>
  </si>
  <si>
    <t>#D1538</t>
  </si>
  <si>
    <t>Mineraluld, murbatts, kl. 30</t>
  </si>
  <si>
    <t>#D1555</t>
  </si>
  <si>
    <t>Mineraluld, teknisk rørisolering, alufolie</t>
  </si>
  <si>
    <t>#D1549</t>
  </si>
  <si>
    <t>Mineraluld, fladt tag, kl. 36-39</t>
  </si>
  <si>
    <t>#D1542</t>
  </si>
  <si>
    <t>Mineraluld, udv. façade, kl. 40</t>
  </si>
  <si>
    <t>#D1553</t>
  </si>
  <si>
    <t>Mineraluld, akustik isolering</t>
  </si>
  <si>
    <t>#D1550</t>
  </si>
  <si>
    <t>Mineraluld, terrændæk, kl. 35</t>
  </si>
  <si>
    <t>#D1551</t>
  </si>
  <si>
    <t>Mineraluld, terrændæk, kl. 37</t>
  </si>
  <si>
    <t>#D1548</t>
  </si>
  <si>
    <t>Mineraluld, fladt tag, kl. 33-35</t>
  </si>
  <si>
    <t>#D1621</t>
  </si>
  <si>
    <t>Isoleringsplade, kork</t>
  </si>
  <si>
    <t>#D1554</t>
  </si>
  <si>
    <t>Mineraluld, trinlydsplade</t>
  </si>
  <si>
    <t>#D1547</t>
  </si>
  <si>
    <t>Mineraluld, fladt tag, topplade</t>
  </si>
  <si>
    <t>#D1598</t>
  </si>
  <si>
    <t>Letklinker, ekspanderet ler, coated, nødder</t>
  </si>
  <si>
    <t>ton/m³</t>
  </si>
  <si>
    <t>#D1597</t>
  </si>
  <si>
    <t>Letklinker, ekspanderet ler, nødder</t>
  </si>
  <si>
    <t>#D1569</t>
  </si>
  <si>
    <t>Perlite, granulat</t>
  </si>
  <si>
    <t>#D1625</t>
  </si>
  <si>
    <t>Stråtag</t>
  </si>
  <si>
    <t>#D1513</t>
  </si>
  <si>
    <t>Porebeton, isoleringsplade</t>
  </si>
  <si>
    <t>#D1628</t>
  </si>
  <si>
    <t>Træfiberisolering, plade, trykfast</t>
  </si>
  <si>
    <t>#D1619</t>
  </si>
  <si>
    <t>Akustikpanel, strå</t>
  </si>
  <si>
    <t>#D1512</t>
  </si>
  <si>
    <t>Porebeton</t>
  </si>
  <si>
    <t>#D1615</t>
  </si>
  <si>
    <t>Sandfangsbrønd</t>
  </si>
  <si>
    <t>stk. Ø1000 mm</t>
  </si>
  <si>
    <t>#D1583</t>
  </si>
  <si>
    <t>Flydemørtel, spartel til gulv</t>
  </si>
  <si>
    <t>ton</t>
  </si>
  <si>
    <t>kg/m²/mm</t>
  </si>
  <si>
    <t>#D1497</t>
  </si>
  <si>
    <t>Tagsten, tegl, røde</t>
  </si>
  <si>
    <t>#D1498</t>
  </si>
  <si>
    <t>Tagsten, tegl, ikke røde</t>
  </si>
  <si>
    <t>#D1499</t>
  </si>
  <si>
    <t>Tagsten, tegl, dobbelt brændte</t>
  </si>
  <si>
    <t>#D1576</t>
  </si>
  <si>
    <t>Funktionsmørtel, tør</t>
  </si>
  <si>
    <t>#D1581</t>
  </si>
  <si>
    <t>Fiberpuds, cement</t>
  </si>
  <si>
    <t>#D1505</t>
  </si>
  <si>
    <t>Fibercement, bølgeplade</t>
  </si>
  <si>
    <t>#D1575</t>
  </si>
  <si>
    <t>Pudsemørtel, tør, kalk-cement (KC)</t>
  </si>
  <si>
    <t>#D1573</t>
  </si>
  <si>
    <t>Muremørtel, tør, kalk-cement (KC)</t>
  </si>
  <si>
    <t>#D1579</t>
  </si>
  <si>
    <t>Bakkemørtel, kalktilpasset vådmørtel</t>
  </si>
  <si>
    <t>#D1574</t>
  </si>
  <si>
    <t>Muremørtel, våd, kalk-cement (KC)</t>
  </si>
  <si>
    <t>#D1507</t>
  </si>
  <si>
    <t>Teglsten, røde</t>
  </si>
  <si>
    <t>#D1508</t>
  </si>
  <si>
    <t>Teglsten, gule, rosé, brune eller lign. farvenuancer</t>
  </si>
  <si>
    <t>#D1511</t>
  </si>
  <si>
    <t>Kalksandsten</t>
  </si>
  <si>
    <t>#D1577</t>
  </si>
  <si>
    <t>Funktionsmørtel, våd</t>
  </si>
  <si>
    <t>#D1509</t>
  </si>
  <si>
    <t>Teglsten, dobbelt brændte</t>
  </si>
  <si>
    <t>#D1580</t>
  </si>
  <si>
    <t>Kalkmørtel (Kh, KKh)</t>
  </si>
  <si>
    <t>#D1578</t>
  </si>
  <si>
    <t>Elementfugemørtel, tør, cement</t>
  </si>
  <si>
    <t>#D1624</t>
  </si>
  <si>
    <t>Slaggegrus</t>
  </si>
  <si>
    <t>#D1571</t>
  </si>
  <si>
    <t>Cement 42,5 MPa</t>
  </si>
  <si>
    <t>#D1572</t>
  </si>
  <si>
    <t>Cement 52,5 MPa</t>
  </si>
  <si>
    <t>#D1590</t>
  </si>
  <si>
    <t>Armeringsstål</t>
  </si>
  <si>
    <t>#D1591</t>
  </si>
  <si>
    <t>Konstruktionsstål, valsede profiler, lille forarbejdning</t>
  </si>
  <si>
    <t>#D1592</t>
  </si>
  <si>
    <t>Konstruktionsstål, opsvejste stålprofiler, stor forarbejdning</t>
  </si>
  <si>
    <t>#D1593</t>
  </si>
  <si>
    <t>Konstruktionsstål, rørprofiler</t>
  </si>
  <si>
    <t>#D1594</t>
  </si>
  <si>
    <t>Lette stålprofiler og -komponenter</t>
  </si>
  <si>
    <t>#D1595</t>
  </si>
  <si>
    <t>Stål, plade</t>
  </si>
  <si>
    <t>#G0199</t>
  </si>
  <si>
    <t>Generisk data</t>
  </si>
  <si>
    <t>Übergabestation fernwärme</t>
  </si>
  <si>
    <t xml:space="preserve">Fjernvarmeanlæg </t>
  </si>
  <si>
    <t>https://www.oekobaudat.de/OEKOBAU.DAT/resource/processes/89956dbd-9cd4-4698-8e06-e7292f543246?version=20.23.050</t>
  </si>
  <si>
    <t>#G0000</t>
  </si>
  <si>
    <t>Foamglas® f</t>
  </si>
  <si>
    <t>https://oekobaudat.de/OEKOBAU.DAT/resource/datastocks/c391de0f-2cfd-47ea-8883-c661d294e2ba/processes/f27b04a9-2fa2-4ac2-8c5f-03addd0a643a?format=html&amp;lang=en&amp;version=00.04.000</t>
  </si>
  <si>
    <t>#G0085</t>
  </si>
  <si>
    <t>Foamglas® t4+</t>
  </si>
  <si>
    <t xml:space="preserve">Celleglas-isolering 110 kg/m³ </t>
  </si>
  <si>
    <t>https://oekobaudat.de/OEKOBAU.DAT/resource/datastocks/c391de0f-2cfd-47ea-8883-c661d294e2ba/processes/c93da4c3-94c9-4c86-b092-610cf1cf012f?format=html&amp;lang=en&amp;version=00.10.000</t>
  </si>
  <si>
    <t>#G0092</t>
  </si>
  <si>
    <t>Fassadenfarbe voranstrich dispersion</t>
  </si>
  <si>
    <t xml:space="preserve">Overflade, Facademaling, grunder, dispersion </t>
  </si>
  <si>
    <t>#G0119</t>
  </si>
  <si>
    <t>Abwasserrohr pvc</t>
  </si>
  <si>
    <t xml:space="preserve">Rør, Afløbsrør, PVC </t>
  </si>
  <si>
    <t>https://www.oekobaudat.de/OEKOBAU.DAT/resource/processes/61e47e03-7a7d-48db-a48a-f5368266f7f5?version=20.23.050</t>
  </si>
  <si>
    <t>#G0138</t>
  </si>
  <si>
    <t>Gips (caso4-beta-halbhydrat)</t>
  </si>
  <si>
    <t xml:space="preserve">Gips, beta-halvhydrat </t>
  </si>
  <si>
    <t>#G0149</t>
  </si>
  <si>
    <t>Kunstharzestrich</t>
  </si>
  <si>
    <t xml:space="preserve">Afretningslag, hårdt plast </t>
  </si>
  <si>
    <t>#G0158</t>
  </si>
  <si>
    <t>Kies 2/32 (getrocknet)</t>
  </si>
  <si>
    <t xml:space="preserve">Grus 2-32 mm, tørret </t>
  </si>
  <si>
    <t>https://www.oekobaudat.de/OEKOBAU.DAT/resource/processes/6b1052ed-f1f0-4f35-919b-3884df8da950?version=20.23.050</t>
  </si>
  <si>
    <t>#G0193</t>
  </si>
  <si>
    <t>Schotter 16/32 (getrocknet)</t>
  </si>
  <si>
    <t xml:space="preserve">Grus 16/32 (tørret) </t>
  </si>
  <si>
    <t>#G0203</t>
  </si>
  <si>
    <t>Grauguss bauteil</t>
  </si>
  <si>
    <t xml:space="preserve">Grå støbejern </t>
  </si>
  <si>
    <t>#G0206</t>
  </si>
  <si>
    <t>Messing-bauteil</t>
  </si>
  <si>
    <t xml:space="preserve">Messing </t>
  </si>
  <si>
    <t>#G0214</t>
  </si>
  <si>
    <t>Tragdeckschicht</t>
  </si>
  <si>
    <t xml:space="preserve">Bære-/slidlag, Asfalt </t>
  </si>
  <si>
    <t>#G0229</t>
  </si>
  <si>
    <t>Lacksysteme holzfenster grundierung weiß</t>
  </si>
  <si>
    <t xml:space="preserve">Overflade, trævinduer, hvid grunder </t>
  </si>
  <si>
    <t>https://www.oekobaudat.de/OEKOBAU.DAT/resource/processes/9b8c0626-bb59-43f5-86dd-97484cc5d4c1?version=20.23.050</t>
  </si>
  <si>
    <t>#G0235</t>
  </si>
  <si>
    <t>Bleibleche</t>
  </si>
  <si>
    <t xml:space="preserve">Blyplader </t>
  </si>
  <si>
    <t>#G0284</t>
  </si>
  <si>
    <t>Sanitärkeramik</t>
  </si>
  <si>
    <t xml:space="preserve">Sanitetskeramik </t>
  </si>
  <si>
    <t>https://www.oekobaudat.de/OEKOBAU.DAT/resource/processes/63c1d882-db0e-42cd-ba84-63adce5deb93?version=20.23.050</t>
  </si>
  <si>
    <t>#G0296</t>
  </si>
  <si>
    <t>Heizkörper</t>
  </si>
  <si>
    <t xml:space="preserve">Radiator, stålplade </t>
  </si>
  <si>
    <t>https://www.oekobaudat.de/OEKOBAU.DAT/resource/processes/190aaf0f-6599-4886-abf0-b067d4083179?version=20.23.050</t>
  </si>
  <si>
    <t>#G0309</t>
  </si>
  <si>
    <t>Pur-dichtmasse</t>
  </si>
  <si>
    <t xml:space="preserve">PUR fugemasse </t>
  </si>
  <si>
    <t>#G0321</t>
  </si>
  <si>
    <t>Sand 0/2 (getrocknet)</t>
  </si>
  <si>
    <t xml:space="preserve">Sand 0-2 mm, tørret </t>
  </si>
  <si>
    <t>https://www.oekobaudat.de/OEKOBAU.DAT/resource/processes/2aff655f-5c9b-4d40-8c14-11b366aba6c9?version=20.23.050</t>
  </si>
  <si>
    <t>#G0334</t>
  </si>
  <si>
    <t>Schotter 16/32</t>
  </si>
  <si>
    <t xml:space="preserve">Skærver 16-32 mm </t>
  </si>
  <si>
    <t>#G0358</t>
  </si>
  <si>
    <t>Blähschiefer</t>
  </si>
  <si>
    <t xml:space="preserve">Ekspanderet skifer </t>
  </si>
  <si>
    <t>https://www.oekobaudat.de/OEKOBAU.DAT/resource/processes/d908dcf0-4db3-4f92-be60-79c6f5183aca?version=20.23.050</t>
  </si>
  <si>
    <t>#G0376</t>
  </si>
  <si>
    <t>Tetrafluorethan (r134a)</t>
  </si>
  <si>
    <t xml:space="preserve">Tetrafluorethan (R134a) </t>
  </si>
  <si>
    <t>#G0386</t>
  </si>
  <si>
    <t>Pufferspeicher (stahl)</t>
  </si>
  <si>
    <t xml:space="preserve">Buffertank, stål </t>
  </si>
  <si>
    <t>#G0439</t>
  </si>
  <si>
    <t>Bitumen emulsion (40% bitumen, 60% wasser)</t>
  </si>
  <si>
    <t xml:space="preserve">Bitumenemulsion (40% bitumen, 60% vand) </t>
  </si>
  <si>
    <t>#G0449</t>
  </si>
  <si>
    <t>Brechsand 0/2</t>
  </si>
  <si>
    <t xml:space="preserve">Stenmel 0/2 </t>
  </si>
  <si>
    <t>#G0456</t>
  </si>
  <si>
    <t>Stahl schmiedebauteil</t>
  </si>
  <si>
    <t xml:space="preserve">Stål, Smedestål </t>
  </si>
  <si>
    <t>#G0496</t>
  </si>
  <si>
    <t>Polypropylen-rohr (pp)</t>
  </si>
  <si>
    <t xml:space="preserve">Rør, polypropylen (PP) </t>
  </si>
  <si>
    <t>#G0551</t>
  </si>
  <si>
    <t>Edelstahlblech</t>
  </si>
  <si>
    <t xml:space="preserve">Stålplade, rustfri </t>
  </si>
  <si>
    <t>#G0552</t>
  </si>
  <si>
    <t>Kunststoffprofil cr (chloropren-kautschuk)</t>
  </si>
  <si>
    <t xml:space="preserve">Plast profil CR (chloropren gummi) </t>
  </si>
  <si>
    <t>#G0558</t>
  </si>
  <si>
    <t>Asphalttragschicht</t>
  </si>
  <si>
    <t xml:space="preserve">Asfalt, bærelag </t>
  </si>
  <si>
    <t>#G0563</t>
  </si>
  <si>
    <t>Parkettlack grundierung, holz, wasserverdünnt</t>
  </si>
  <si>
    <t xml:space="preserve">Overflade, Parket lak (primer til træ; fortyndet med vand) </t>
  </si>
  <si>
    <t>https://www.oekobaudat.de/OEKOBAU.DAT/resource/processes/b97c7ace-c925-4c13-be59-d338fcc77f6b?version=20.23.050</t>
  </si>
  <si>
    <t>#G0581</t>
  </si>
  <si>
    <t>Fassadenfarbe silikonharzfarbe</t>
  </si>
  <si>
    <t xml:space="preserve">Overflade, Facademaling, silikoneharpiks  </t>
  </si>
  <si>
    <t>#G0606</t>
  </si>
  <si>
    <t>Kalkfarbe</t>
  </si>
  <si>
    <t xml:space="preserve">Overflade, Kalkmaling </t>
  </si>
  <si>
    <t>#G0611</t>
  </si>
  <si>
    <t>Abwasserrohr pp</t>
  </si>
  <si>
    <t xml:space="preserve">Rør, Kloakrør PP </t>
  </si>
  <si>
    <t>https://www.oekobaudat.de/OEKOBAU.DAT/resource/processes/88558ef9-479f-405e-9e94-e36f817a3620?version=20.23.050</t>
  </si>
  <si>
    <t>#G0629</t>
  </si>
  <si>
    <t>Kunststoffprofil silikon</t>
  </si>
  <si>
    <t xml:space="preserve">Plastprofil, silikone </t>
  </si>
  <si>
    <t>#G0656</t>
  </si>
  <si>
    <t>Polycarbonatplatte</t>
  </si>
  <si>
    <t xml:space="preserve">Polycarbonatplade </t>
  </si>
  <si>
    <t>#G0684</t>
  </si>
  <si>
    <t>Schornstein polypropylen (pp)</t>
  </si>
  <si>
    <t xml:space="preserve">Skortsten polypropylen (PP) </t>
  </si>
  <si>
    <t>#G0722</t>
  </si>
  <si>
    <t>Gips (caso4-alpha-halbhydrat)</t>
  </si>
  <si>
    <t xml:space="preserve">Gipspulver, Alpha-halvhydrat </t>
  </si>
  <si>
    <t>#G0731</t>
  </si>
  <si>
    <t>Gussasphalt</t>
  </si>
  <si>
    <t xml:space="preserve">Støbeasfalt </t>
  </si>
  <si>
    <t>#G0740</t>
  </si>
  <si>
    <t>Betonrohr, bewehrt</t>
  </si>
  <si>
    <t xml:space="preserve">Betonrør, armeret </t>
  </si>
  <si>
    <t>#G0767</t>
  </si>
  <si>
    <t>Stahl warmgewalzte bleche (2-20mm)</t>
  </si>
  <si>
    <t xml:space="preserve">Stål, varmvalset plade, 2-20 mm </t>
  </si>
  <si>
    <t>#G0775</t>
  </si>
  <si>
    <t>Edelstahl-trinkwasserrohr</t>
  </si>
  <si>
    <t xml:space="preserve">Brugsvandsrør, rustfast stål </t>
  </si>
  <si>
    <t>https://www.oekobaudat.de/OEKOBAU.DAT/resource/processes/d8d0942a-0c4e-49e0-bd78-abc84a41fd80?version=20.23.050</t>
  </si>
  <si>
    <t>#G0807</t>
  </si>
  <si>
    <t>Trinkwasserrohr pb</t>
  </si>
  <si>
    <t xml:space="preserve">Brugsvandsrør, PB </t>
  </si>
  <si>
    <t>#G0812</t>
  </si>
  <si>
    <t>Perlite 0-3</t>
  </si>
  <si>
    <t xml:space="preserve">Perlite 0-3 mm </t>
  </si>
  <si>
    <t>#G0821</t>
  </si>
  <si>
    <t>Kleber für gipsplatten</t>
  </si>
  <si>
    <t xml:space="preserve">Lim til gipsplader </t>
  </si>
  <si>
    <t>https://www.oekobaudat.de/OEKOBAU.DAT/resource/processes/fc442d0a-fbc4-4304-ace8-24304756e2df?version=20.23.050</t>
  </si>
  <si>
    <t>#G0839</t>
  </si>
  <si>
    <t>Lehmpulver</t>
  </si>
  <si>
    <t xml:space="preserve">Ler pulver </t>
  </si>
  <si>
    <t>#G0856</t>
  </si>
  <si>
    <t>Voranstrich (silikonharz)</t>
  </si>
  <si>
    <t xml:space="preserve">Grunder til silikonespuds </t>
  </si>
  <si>
    <t>https://www.oekobaudat.de/OEKOBAU.DAT/resource/processes/8ad88978-affe-46c4-9e69-73a886779876?version=20.23.050</t>
  </si>
  <si>
    <t>#G0880</t>
  </si>
  <si>
    <t>Calciumsulfatestrich</t>
  </si>
  <si>
    <t xml:space="preserve">Kalciumsulfat </t>
  </si>
  <si>
    <t>#G0906</t>
  </si>
  <si>
    <t>Lacksysteme holzfenster decklack weiß</t>
  </si>
  <si>
    <t xml:space="preserve">Overflade, Vinduesmaling, hvid </t>
  </si>
  <si>
    <t>https://www.oekobaudat.de/OEKOBAU.DAT/resource/processes/9a0a1631-fccc-43bc-8911-817cbb79f49b?version=20.23.050</t>
  </si>
  <si>
    <t>#G0939</t>
  </si>
  <si>
    <t>Kältemittel r404a</t>
  </si>
  <si>
    <t xml:space="preserve">Kølemiddel (R407c) </t>
  </si>
  <si>
    <t>https://www.oekobaudat.de/OEKOBAU.DAT/resource/processes/c3ed198f-1951-4bc2-8802-372454e9b4a2?version=20.23.050</t>
  </si>
  <si>
    <t>#G0970</t>
  </si>
  <si>
    <t>Lacksysteme holzfassade halb-pigmentiert (lasursystem)</t>
  </si>
  <si>
    <t xml:space="preserve">Overflade, træfacade, semi-pigmenteret lasursystem </t>
  </si>
  <si>
    <t>#G1013</t>
  </si>
  <si>
    <t>Rotguss-bauteil</t>
  </si>
  <si>
    <t xml:space="preserve">Rørgods </t>
  </si>
  <si>
    <t>#G1018</t>
  </si>
  <si>
    <t>Fassadenfarbe silikat-dispersionsfarbe</t>
  </si>
  <si>
    <t xml:space="preserve">Overflade, Facademaling,  silikat  </t>
  </si>
  <si>
    <t>#G1051</t>
  </si>
  <si>
    <t>Baumwolle ökologisch</t>
  </si>
  <si>
    <t xml:space="preserve">Bomuld, økologisk </t>
  </si>
  <si>
    <t>https://www.oekobaudat.de/OEKOBAU.DAT/resource/processes/e4800e06-854a-4f09-9114-21340fd19af5?version=20.23.050</t>
  </si>
  <si>
    <t>#G1056</t>
  </si>
  <si>
    <t>Propan (r290)</t>
  </si>
  <si>
    <t xml:space="preserve">Propan (R290) </t>
  </si>
  <si>
    <t>#G1238</t>
  </si>
  <si>
    <t>Schmelzkammergranulat</t>
  </si>
  <si>
    <t xml:space="preserve">Smeltekammergranulat </t>
  </si>
  <si>
    <t>#G1301</t>
  </si>
  <si>
    <t>Voranstrich (Silikat-Dispersion)</t>
  </si>
  <si>
    <t xml:space="preserve">Silikatmaling (indendørs) </t>
  </si>
  <si>
    <t>#G0098</t>
  </si>
  <si>
    <t>Gipsstein (caso4-dihydrat)</t>
  </si>
  <si>
    <t xml:space="preserve">Gipssten </t>
  </si>
  <si>
    <t>#G0115</t>
  </si>
  <si>
    <t>Lava körnung</t>
  </si>
  <si>
    <t xml:space="preserve">Lavagrus </t>
  </si>
  <si>
    <t>https://www.oekobaudat.de/OEKOBAU.DAT/resource/processes/e2799f93-b221-48c5-b7ee-9dd39850e379?version=20.23.050</t>
  </si>
  <si>
    <t>#G0127</t>
  </si>
  <si>
    <t>Folie aus polytetrafluorethylen (ptfe)</t>
  </si>
  <si>
    <t xml:space="preserve">Teflon-membran, polytetrafluoroethylen (PTFE) </t>
  </si>
  <si>
    <t>#G0144</t>
  </si>
  <si>
    <t>Pulverlackierung (industrie, außenbereich, weiß)</t>
  </si>
  <si>
    <t xml:space="preserve">Overflade, Pulverlakering (Industri, udendørs, hvid) </t>
  </si>
  <si>
    <t>https://www.oekobaudat.de/OEKOBAU.DAT/resource/processes/655a3a77-ab75-4553-a706-655d1de10292?version=20.23.050</t>
  </si>
  <si>
    <t>#G0173</t>
  </si>
  <si>
    <t>Blähglas granulat</t>
  </si>
  <si>
    <t xml:space="preserve">Ekspanderet glasgranulat </t>
  </si>
  <si>
    <t>https://www.oekobaudat.de/OEKOBAU.DAT/resource/processes/03df95b7-c807-461d-a163-56a98528d8e8?version=20.23.050</t>
  </si>
  <si>
    <t>#G0174</t>
  </si>
  <si>
    <t xml:space="preserve">Rør, Kloakrør PVC </t>
  </si>
  <si>
    <t>#G0207</t>
  </si>
  <si>
    <t>Regenabflussrohr pvc</t>
  </si>
  <si>
    <t xml:space="preserve">Rør, Regnvandsrør, PVC </t>
  </si>
  <si>
    <t>#G0239</t>
  </si>
  <si>
    <t>Pufferspeicher (edelstahl)</t>
  </si>
  <si>
    <t xml:space="preserve">Buffertank, rustfast stål </t>
  </si>
  <si>
    <t>#G0248</t>
  </si>
  <si>
    <t>Kalk (cao; feinkalk)</t>
  </si>
  <si>
    <t xml:space="preserve">Kalk, malet </t>
  </si>
  <si>
    <t>https://www.oekobaudat.de/OEKOBAU.DAT/resource/processes/d63868d0-5a54-40fd-ad33-5eee2b0228e1?version=20.23.050</t>
  </si>
  <si>
    <t>#G0252</t>
  </si>
  <si>
    <t>Difluormethan (r32)</t>
  </si>
  <si>
    <t xml:space="preserve">Difluormethan (R32) </t>
  </si>
  <si>
    <t>#G0303</t>
  </si>
  <si>
    <t>Chlorodifluormethan (r22)</t>
  </si>
  <si>
    <t xml:space="preserve">Klordifluormethan (R22) </t>
  </si>
  <si>
    <t>#G0318</t>
  </si>
  <si>
    <t>Lacksysteme holzfassade deckend (decklacksystem)</t>
  </si>
  <si>
    <t xml:space="preserve">Overflade, Træmaling, udendørs, dækkende (topcoat-system) </t>
  </si>
  <si>
    <t>#G0324</t>
  </si>
  <si>
    <t>Parkettlack transparent</t>
  </si>
  <si>
    <t xml:space="preserve">Overflade, Parket lak transparent </t>
  </si>
  <si>
    <t>#G0377</t>
  </si>
  <si>
    <t>Tetrafluorpropen (r1234ze)</t>
  </si>
  <si>
    <t xml:space="preserve">Tetrafluorpropen (R1234ze) </t>
  </si>
  <si>
    <t>#G0410</t>
  </si>
  <si>
    <t>Gussasphaltestrich</t>
  </si>
  <si>
    <t>#G0445</t>
  </si>
  <si>
    <t>Kohlenstoffdioxid (r744)</t>
  </si>
  <si>
    <t xml:space="preserve">Kuldioxid (R744) </t>
  </si>
  <si>
    <t>#G0463</t>
  </si>
  <si>
    <t>Kunststoffteil aus laminiertem polyesterharz (gfk, 30% glasfaseranteil)</t>
  </si>
  <si>
    <t xml:space="preserve">Glasfiber-forstærket plast, polyester (30% fiberandel) </t>
  </si>
  <si>
    <t>#G0483</t>
  </si>
  <si>
    <t xml:space="preserve">Kølemiddel (R410a) </t>
  </si>
  <si>
    <t>#G0487</t>
  </si>
  <si>
    <t>Lösemittellack weiß</t>
  </si>
  <si>
    <t xml:space="preserve">Overflade, Opløsningsmiddelbaseret lak, hvid </t>
  </si>
  <si>
    <t>https://www.oekobaudat.de/OEKOBAU.DAT/resource/processes/511b2af7-f9b9-4e1f-8b9e-fd4ac548aa6c?version=20.23.050</t>
  </si>
  <si>
    <t>#G0493</t>
  </si>
  <si>
    <t>Fassadenfarbe voranstrich silikat-dispersion</t>
  </si>
  <si>
    <t xml:space="preserve">Overflade, Facademaling, grunder, silikat  </t>
  </si>
  <si>
    <t>#G0499</t>
  </si>
  <si>
    <t>Stahl feinblech (20µm bandverzinkt)</t>
  </si>
  <si>
    <t xml:space="preserve">Stålplade (20 mikrometer galvaniseret) </t>
  </si>
  <si>
    <t>https://www.oekobaudat.de/OEKOBAU.DAT/resource/processes/e4d32a41-ad4e-48bd-8ad9-56f50f495503?version=20.23.050</t>
  </si>
  <si>
    <t>#G0505</t>
  </si>
  <si>
    <t>Schornstein edelstahl (einwandig)</t>
  </si>
  <si>
    <t xml:space="preserve">Skorsten stål (enkelt væg) </t>
  </si>
  <si>
    <t>#G0555</t>
  </si>
  <si>
    <t>Stahlrohr</t>
  </si>
  <si>
    <t xml:space="preserve">Stålrør, gevindrør </t>
  </si>
  <si>
    <t>#G0561</t>
  </si>
  <si>
    <t>Voranstrich (silikat-dispersion)</t>
  </si>
  <si>
    <t xml:space="preserve">Grunder, silikat dispersion </t>
  </si>
  <si>
    <t>#G0572</t>
  </si>
  <si>
    <t>Polybutadien-rohr (pb)</t>
  </si>
  <si>
    <t xml:space="preserve">Polybutadiene rør (PB) </t>
  </si>
  <si>
    <t>#G0576</t>
  </si>
  <si>
    <t>Perlite 0-1</t>
  </si>
  <si>
    <t xml:space="preserve">Perlite 0-1 mm </t>
  </si>
  <si>
    <t>#G0580</t>
  </si>
  <si>
    <t>Bimssand</t>
  </si>
  <si>
    <t xml:space="preserve">Pimpsten 0-4 mm </t>
  </si>
  <si>
    <t>#G0608</t>
  </si>
  <si>
    <t>Kautschuk-dichtmasse</t>
  </si>
  <si>
    <t xml:space="preserve">Gummitætning </t>
  </si>
  <si>
    <t>#G0635</t>
  </si>
  <si>
    <t>Nylon gussteil (pa 6.6)</t>
  </si>
  <si>
    <t xml:space="preserve">Nylonstøbning (PA 6.6) </t>
  </si>
  <si>
    <t>#G0638</t>
  </si>
  <si>
    <t>Splitt 2/15 (getrocknet)</t>
  </si>
  <si>
    <t xml:space="preserve">Grus, 2-15 mm, tørret </t>
  </si>
  <si>
    <t>#G0647</t>
  </si>
  <si>
    <t>Melaminharz-schaum</t>
  </si>
  <si>
    <t xml:space="preserve">Melamin-skum </t>
  </si>
  <si>
    <t>#G0673</t>
  </si>
  <si>
    <t>Asphaltbinder</t>
  </si>
  <si>
    <t xml:space="preserve">Bindelag </t>
  </si>
  <si>
    <t>#G0687</t>
  </si>
  <si>
    <t>Polyethylen-schaum</t>
  </si>
  <si>
    <t xml:space="preserve">Polyethylen-skum </t>
  </si>
  <si>
    <t>#G0690</t>
  </si>
  <si>
    <t>Regenabflussrohr sml</t>
  </si>
  <si>
    <t xml:space="preserve">Regnvandsrør, støbejern </t>
  </si>
  <si>
    <t>#G0698</t>
  </si>
  <si>
    <t>Sand 0/2</t>
  </si>
  <si>
    <t xml:space="preserve">Sand 0-2 mm </t>
  </si>
  <si>
    <t>#G0734</t>
  </si>
  <si>
    <t>Bitumen kaltkleber (60% bitumen, 23%lm, 17% wasser)</t>
  </si>
  <si>
    <t xml:space="preserve">Bitumenklæber </t>
  </si>
  <si>
    <t>#G0782</t>
  </si>
  <si>
    <t>Trinkwasserrohr pe-x-alu</t>
  </si>
  <si>
    <t xml:space="preserve">Brugsvandsrør, Alu-PEX </t>
  </si>
  <si>
    <t>#G0804</t>
  </si>
  <si>
    <t>Trinkwasserrohre pe x-alu-pe x</t>
  </si>
  <si>
    <t xml:space="preserve">Brugsvandsrør, PEX-Alu-PEX </t>
  </si>
  <si>
    <t>#G0813</t>
  </si>
  <si>
    <t>Lithiumbromid</t>
  </si>
  <si>
    <t xml:space="preserve">Lithiumbromid </t>
  </si>
  <si>
    <t>#G0846</t>
  </si>
  <si>
    <t xml:space="preserve">Grus 2-32 mm </t>
  </si>
  <si>
    <t>#G0861</t>
  </si>
  <si>
    <t>Kalziumhydroxid (ca(oh)2, trocken; gelöscht)</t>
  </si>
  <si>
    <t xml:space="preserve">Læsket kalk, pulver </t>
  </si>
  <si>
    <t>https://www.oekobaudat.de/OEKOBAU.DAT/resource/processes/759f9742-cd53-4b8f-b8ae-dec49c3378e9?version=20.23.050</t>
  </si>
  <si>
    <t>#G0877</t>
  </si>
  <si>
    <t>Innenfarbe dispersionsfarbe scheuerfest</t>
  </si>
  <si>
    <t xml:space="preserve">Overflade, Indendørsmaling, emulsions maling, slidstærk </t>
  </si>
  <si>
    <t>#G0933</t>
  </si>
  <si>
    <t>Splitt 2/15</t>
  </si>
  <si>
    <t xml:space="preserve">Singels 2-15 mm </t>
  </si>
  <si>
    <t>#G0940</t>
  </si>
  <si>
    <t>Brechsand 0/2 (getrocknet)</t>
  </si>
  <si>
    <t xml:space="preserve">Sand, knust, tørret </t>
  </si>
  <si>
    <t>#G0951</t>
  </si>
  <si>
    <t>Baumwolle konventionell</t>
  </si>
  <si>
    <t xml:space="preserve">Bomuld </t>
  </si>
  <si>
    <t>#G0964</t>
  </si>
  <si>
    <t>Kunststoffprofil sbr</t>
  </si>
  <si>
    <t xml:space="preserve">Plast profil SBR </t>
  </si>
  <si>
    <t>#G0978</t>
  </si>
  <si>
    <t>Splittmastixasphalt (sma)</t>
  </si>
  <si>
    <t xml:space="preserve">Skærvemastisk asfalt (SMA) </t>
  </si>
  <si>
    <t>https://www.oekobaudat.de/OEKOBAU.DAT/resource/processes/78fb80c2-6d74-49fe-97fa-4d436af75106?version=20.23.050</t>
  </si>
  <si>
    <t>#G1000</t>
  </si>
  <si>
    <t>Wasserlack weiß</t>
  </si>
  <si>
    <t xml:space="preserve">Overflade, Vandbaseret lak, hvid </t>
  </si>
  <si>
    <t>https://www.oekobaudat.de/OEKOBAU.DAT/resource/processes/3ec35876-5628-4749-a50c-f96e02a7e09e?version=20.23.050</t>
  </si>
  <si>
    <t>#G1003</t>
  </si>
  <si>
    <t>Betonrohr, unbewehrt</t>
  </si>
  <si>
    <t xml:space="preserve">Betonrør, u-armeret </t>
  </si>
  <si>
    <t>#G1006</t>
  </si>
  <si>
    <t>Pvc plastisol</t>
  </si>
  <si>
    <t xml:space="preserve">PVC plastisol </t>
  </si>
  <si>
    <t>#G1032</t>
  </si>
  <si>
    <t>Harnstoff-formaldehydharz ortschaum</t>
  </si>
  <si>
    <t xml:space="preserve">Urea formaldehyd skum isolering </t>
  </si>
  <si>
    <t>#G1038</t>
  </si>
  <si>
    <t>Lacksysteme holzfenster zwischenbeschichtung deckend weiß</t>
  </si>
  <si>
    <t xml:space="preserve">Overflade, Vinduesmaling, mellemlag dækkende hvid </t>
  </si>
  <si>
    <t>https://www.oekobaudat.de/OEKOBAU.DAT/resource/processes/b347b33b-8a05-4d0a-83c4-1337c986a775?version=20.23.050</t>
  </si>
  <si>
    <t>#G1061</t>
  </si>
  <si>
    <t>Fassadenfarbe dispersionsfarbe</t>
  </si>
  <si>
    <t xml:space="preserve">Overflade, Facademaling, akryl maling  </t>
  </si>
  <si>
    <t>#G1070</t>
  </si>
  <si>
    <t xml:space="preserve">Kølemiddel (R404a) </t>
  </si>
  <si>
    <t>#G0680</t>
  </si>
  <si>
    <t>Epdm-dichtungen für aluminiumprofil</t>
  </si>
  <si>
    <t xml:space="preserve">EPDM-tætning til aluminiumsprofil </t>
  </si>
  <si>
    <t>https://www.oekobaudat.de/OEKOBAU.DAT/resource/processes/01a66f11-99ef-4fec-b34b-d68a377820ee?version=20.23.050</t>
  </si>
  <si>
    <t>#G0946</t>
  </si>
  <si>
    <t>Cr profil (chloropren-kautschuk)</t>
  </si>
  <si>
    <t xml:space="preserve">CR-profil til forsejling (chloropren gummi) </t>
  </si>
  <si>
    <t>#G0299</t>
  </si>
  <si>
    <t>Epdm-dichtungen aluminiumprofil, thermisch getrennt</t>
  </si>
  <si>
    <t xml:space="preserve">EPDM-tætning til aluminiumsprofil, med kuldebroafbrydelse </t>
  </si>
  <si>
    <t>#G0679</t>
  </si>
  <si>
    <t>Aluminium-flügelrahmenprofil, pulverbeschichtet</t>
  </si>
  <si>
    <t xml:space="preserve">Vinduesramme, pulverlakeret aluminium </t>
  </si>
  <si>
    <t>https://www.oekobaudat.de/OEKOBAU.DAT/resource/processes/9c97e6bb-8e4a-4e6e-ad2f-773eeab50739?version=20.23.050</t>
  </si>
  <si>
    <t>#G0546</t>
  </si>
  <si>
    <t>Aluminium-rahmenprofil, pulverbeschichtet</t>
  </si>
  <si>
    <t xml:space="preserve">Vinduesprofil, karm, alu. pulverlak. </t>
  </si>
  <si>
    <t>https://www.oekobaudat.de/OEKOBAU.DAT/resource/processes/aef3b8cd-c3b4-4e55-b2d1-0a3a131e7695?version=20.23.050</t>
  </si>
  <si>
    <t>#G0184</t>
  </si>
  <si>
    <t>Aluminium-rahmenprofil, thermisch getrennt, pulverbeschichtet</t>
  </si>
  <si>
    <t xml:space="preserve">Vindueskarm, aluminium </t>
  </si>
  <si>
    <t>https://www.oekobaudat.de/OEKOBAU.DAT/resource/processes/33403851-59e9-463e-b238-b17afefc9a08?version=20.23.050</t>
  </si>
  <si>
    <t>#G0315</t>
  </si>
  <si>
    <t>Aluminium-flügelrahmenprofil, thermisch getrennt, pulverbeschichtet</t>
  </si>
  <si>
    <t xml:space="preserve">Vinduesramme, aluminium </t>
  </si>
  <si>
    <t>https://www.oekobaudat.de/OEKOBAU.DAT/resource/processes/9c4e69a2-9c53-4c54-9c2f-027091116aa1?version=20.23.050</t>
  </si>
  <si>
    <t>#G0363</t>
  </si>
  <si>
    <t>Steinzeugrohre dn 400</t>
  </si>
  <si>
    <t xml:space="preserve">Lerrør, glaseret, DN 400 </t>
  </si>
  <si>
    <t>#G0842</t>
  </si>
  <si>
    <t>Schornstein gemauert (zweizügig)</t>
  </si>
  <si>
    <t xml:space="preserve">Skorsten opmuret (2 rør) </t>
  </si>
  <si>
    <t>https://www.oekobaudat.de/OEKOBAU.DAT/resource/processes/5b35df13-7d69-43a5-9532-98f62bc2f460?version=20.23.050</t>
  </si>
  <si>
    <t>#G0833</t>
  </si>
  <si>
    <t>Holz-blendrahmen</t>
  </si>
  <si>
    <t xml:space="preserve">Vindueskarm, træ </t>
  </si>
  <si>
    <t>#G0896</t>
  </si>
  <si>
    <t>Holz-flügelrahmen</t>
  </si>
  <si>
    <t xml:space="preserve">Vinduesramme, træ </t>
  </si>
  <si>
    <t>https://www.oekobaudat.de/OEKOBAU.DAT/resource/processes/7907e693-d970-4958-adfd-223b541fc731?version=20.23.050</t>
  </si>
  <si>
    <t>#G0716</t>
  </si>
  <si>
    <t>Blendrahmen pvc-u</t>
  </si>
  <si>
    <t xml:space="preserve">Vindueskarm, plast </t>
  </si>
  <si>
    <t>#G0511</t>
  </si>
  <si>
    <t>Flügelrahmen pvc-u</t>
  </si>
  <si>
    <t xml:space="preserve">Vinduesramme, plast </t>
  </si>
  <si>
    <t>https://www.oekobaudat.de/OEKOBAU.DAT/resource/processes/4ca023d1-2eda-43ab-9c55-481a6d250d9b?version=20.23.050</t>
  </si>
  <si>
    <t>#G0961</t>
  </si>
  <si>
    <t>Pfosten/riegel aus aluminium</t>
  </si>
  <si>
    <t xml:space="preserve">Curtain wall profiler, aluminium </t>
  </si>
  <si>
    <t>https://www.oekobaudat.de/OEKOBAU.DAT/resource/processes/03329c6a-b5f2-47c8-a8db-1bd3b003857c?version=20.23.050</t>
  </si>
  <si>
    <t>#G0890</t>
  </si>
  <si>
    <t>Steinzeugrohre dn 250</t>
  </si>
  <si>
    <t xml:space="preserve">Lerrør, glaseret, DN 250 </t>
  </si>
  <si>
    <t>#G0442</t>
  </si>
  <si>
    <t>Pfosten/riegelsystem aus stahl</t>
  </si>
  <si>
    <t xml:space="preserve">Curtain wall profiler, stål </t>
  </si>
  <si>
    <t>#G1064</t>
  </si>
  <si>
    <t>Schornstein gemauert (einzügig)</t>
  </si>
  <si>
    <t xml:space="preserve">Skorsten opmuret (1 rør) </t>
  </si>
  <si>
    <t>https://www.oekobaudat.de/OEKOBAU.DAT/resource/processes/1778444e-e7a5-46dc-8260-64afe41f8a2e?version=20.23.050</t>
  </si>
  <si>
    <t>#G1166</t>
  </si>
  <si>
    <t>Mehrschichtparkett (generisch)</t>
  </si>
  <si>
    <t xml:space="preserve">Parket, flerlag (tykkelse 0,01 m) </t>
  </si>
  <si>
    <t>https://www.oekobaudat.de/OEKOBAU.DAT/resource/processes/ed739600-fbd0-4b3e-b577-453778a5270e?version=20.23.050</t>
  </si>
  <si>
    <t>Korklinoleum fußbodenbelag</t>
  </si>
  <si>
    <t>https://www.oekobaudat.de/OEKOBAU.DAT/resource/processes/f3a3bf90-a295-4aab-9bfc-af3fe20c921b?version=20.23.050</t>
  </si>
  <si>
    <t>#G1186</t>
  </si>
  <si>
    <t>VELUX PUR dachfenster (zweifachverglasung)</t>
  </si>
  <si>
    <t xml:space="preserve">Ovenlyskuppel, plast (komplet ovenlys) </t>
  </si>
  <si>
    <t>https://oekobaudat.de/OEKOBAU.DAT/resource/datastocks/c391de0f-2cfd-47ea-8883-c661d294e2ba/processes/5405b63f-9a3e-4a33-adda-07f86556e031?format=html&amp;lang=en&amp;version=00.03.000</t>
  </si>
  <si>
    <t>#G1198</t>
  </si>
  <si>
    <t>VELUX modular skylight (double glazing configuration)</t>
  </si>
  <si>
    <t>https://oekobaudat.de/OEKOBAU.DAT/resource/datastocks/c391de0f-2cfd-47ea-8883-c661d294e2ba/processes/f54c9732-257c-4de7-a633-091187f219ac?format=html&amp;lang=en&amp;version=00.02.000</t>
  </si>
  <si>
    <t>#G0008</t>
  </si>
  <si>
    <t>Infini colors - getuftete teppichfliesen</t>
  </si>
  <si>
    <t xml:space="preserve">Tæppeflise </t>
  </si>
  <si>
    <t>https://oekobaudat.de/OEKOBAU.DAT/resource/datastocks/c391de0f-2cfd-47ea-8883-c661d294e2ba/processes/521d6dd3-905f-436c-927d-f2c618553b23?format=html&amp;lang=en&amp;version=00.01.000</t>
  </si>
  <si>
    <t>#G0393</t>
  </si>
  <si>
    <t>Kraftpapier</t>
  </si>
  <si>
    <t xml:space="preserve">Byggepap </t>
  </si>
  <si>
    <t>#G0786</t>
  </si>
  <si>
    <t>Dampfbremse pa</t>
  </si>
  <si>
    <t xml:space="preserve">Dampspærre PA </t>
  </si>
  <si>
    <t>#G0108</t>
  </si>
  <si>
    <t>Glasvlies</t>
  </si>
  <si>
    <t xml:space="preserve">Glasfiberdug </t>
  </si>
  <si>
    <t>#G1111</t>
  </si>
  <si>
    <t>Dampfbremse PET gitterverstärkt</t>
  </si>
  <si>
    <t xml:space="preserve">Net-forstærket dampspærre PET </t>
  </si>
  <si>
    <t>https://www.oekobaudat.de/OEKOBAU.DAT/resource/processes/b86a5061-4138-4a1a-889d-0c53f4868f49?version=20.23.050</t>
  </si>
  <si>
    <t>#G1148</t>
  </si>
  <si>
    <t>Unterspannbahn pe gewebeverstärkt</t>
  </si>
  <si>
    <t xml:space="preserve">Undertag, fiberarmeret PE-membran </t>
  </si>
  <si>
    <t>https://www.oekobaudat.de/OEKOBAU.DAT/resource/processes/e1a3feae-f090-41d7-8697-dfd5b28e0607?version=20.23.050</t>
  </si>
  <si>
    <t>#G1097</t>
  </si>
  <si>
    <t>Unterspannbahn pp</t>
  </si>
  <si>
    <t xml:space="preserve">Undertag, PP-membran </t>
  </si>
  <si>
    <t>https://www.oekobaudat.de/OEKOBAU.DAT/resource/processes/9c355da1-8e97-448e-b66b-10e04316bf20?version=20.23.050</t>
  </si>
  <si>
    <t>#G0226</t>
  </si>
  <si>
    <t>Pulverbeschichten von metallen</t>
  </si>
  <si>
    <t xml:space="preserve">Overflade, Pulver coating af metal </t>
  </si>
  <si>
    <t>#G1125</t>
  </si>
  <si>
    <t>Dampfbremse pe</t>
  </si>
  <si>
    <t xml:space="preserve">Dampspærre PE (tykkelse 0,0002 m) </t>
  </si>
  <si>
    <t>https://www.oekobaudat.de/OEKOBAU.DAT/resource/processes/7b949ae4-3793-4670-86d8-241578803aa2?version=20.23.050</t>
  </si>
  <si>
    <t>#G1122</t>
  </si>
  <si>
    <t>Unterspannbahn pur auf pet-vlies</t>
  </si>
  <si>
    <t xml:space="preserve">PUR-underlag på PET-flis (tykkelse 0,0005 m) </t>
  </si>
  <si>
    <t>https://www.oekobaudat.de/OEKOBAU.DAT/resource/processes/d4dc2df9-deda-4b02-bb0d-952ce44d2fe6?version=20.23.050</t>
  </si>
  <si>
    <t>#G0990</t>
  </si>
  <si>
    <t>Metalllack (lösemittelbasiert)</t>
  </si>
  <si>
    <t xml:space="preserve">Overflade, Metal maling (opløsningsmiddelbaseret) </t>
  </si>
  <si>
    <t>https://www.oekobaudat.de/OEKOBAU.DAT/resource/processes/b2a5f872-5e24-461c-a6e4-88ef88ad7c8c?version=20.23.050</t>
  </si>
  <si>
    <t>#G0625</t>
  </si>
  <si>
    <t>Aluminiumfolie (d=0,1 mm)</t>
  </si>
  <si>
    <t xml:space="preserve">Aluminiumsfolie (d=0,1 mm) </t>
  </si>
  <si>
    <t>https://www.oekobaudat.de/OEKOBAU.DAT/resource/processes/0fdc2fd3-fe48-499f-9158-74a6cc7185dc?version=20.23.050</t>
  </si>
  <si>
    <t>#G0502</t>
  </si>
  <si>
    <t>Metallbeschichtung (wasserbasiert)</t>
  </si>
  <si>
    <t xml:space="preserve">Overflade, Metalcoating (vandbaseret) </t>
  </si>
  <si>
    <t>#G0754</t>
  </si>
  <si>
    <t>Sonnenschutztuch</t>
  </si>
  <si>
    <t xml:space="preserve">Solafskærmning, polyethylenterephthalat (PET) </t>
  </si>
  <si>
    <t>#G0490</t>
  </si>
  <si>
    <t>Pe/pp vlies</t>
  </si>
  <si>
    <t xml:space="preserve">Fiberdug, PE / PP </t>
  </si>
  <si>
    <t>#G0143</t>
  </si>
  <si>
    <t>Eloxieren von aluminiumblech</t>
  </si>
  <si>
    <t xml:space="preserve">Overflade, Anodisering af aluminiumplade </t>
  </si>
  <si>
    <t>https://www.oekobaudat.de/OEKOBAU.DAT/resource/processes/e9920105-0f1a-4452-9a08-47289dc04116?version=20.23.050</t>
  </si>
  <si>
    <t>#G0429</t>
  </si>
  <si>
    <t>Solaranlage vakuumröhrenkollektor</t>
  </si>
  <si>
    <t xml:space="preserve">Solvarmekollektor, vakuumrør </t>
  </si>
  <si>
    <t>https://www.oekobaudat.de/OEKOBAU.DAT/resource/processes/904204ca-cdaa-49ac-a899-4fabf8e56456?version=20.23.050</t>
  </si>
  <si>
    <t>#G1131</t>
  </si>
  <si>
    <t>Folie für gründach</t>
  </si>
  <si>
    <t xml:space="preserve">Folie til grønt tag </t>
  </si>
  <si>
    <t>https://www.oekobaudat.de/OEKOBAU.DAT/resource/processes/4c569188-c899-44da-8843-523c2c741efe?version=20.23.050</t>
  </si>
  <si>
    <t>#G1163</t>
  </si>
  <si>
    <t>Pe-noppenfolie zur abdichtung</t>
  </si>
  <si>
    <t xml:space="preserve">Fugtisolering, grundmursplade, PE </t>
  </si>
  <si>
    <t>https://www.oekobaudat.de/OEKOBAU.DAT/resource/processes/0dbca1ff-d043-408f-9511-6aeddf8e5f70?version=20.23.050</t>
  </si>
  <si>
    <t>#G0519</t>
  </si>
  <si>
    <t>Pe-hd mit pp-vlies zur abdichtung</t>
  </si>
  <si>
    <t xml:space="preserve">Folie, PE-HD med PP-fiberdug </t>
  </si>
  <si>
    <t>#G0927</t>
  </si>
  <si>
    <t>Fußbodenheizung pex (200 mm abstand)</t>
  </si>
  <si>
    <t xml:space="preserve">Gulvvarmesystem inkl. isolering, PEX (200 mm afstand) </t>
  </si>
  <si>
    <t>https://www.oekobaudat.de/OEKOBAU.DAT/resource/processes/03c47c52-3265-49d9-8804-6c447031ce73?version=20.23.050</t>
  </si>
  <si>
    <t>#G0936</t>
  </si>
  <si>
    <t>Fußbodenheizung pp (200 mm abstand)</t>
  </si>
  <si>
    <t xml:space="preserve">Gulvvarmesystem inkl. isolering, PP (200 mm afstand) </t>
  </si>
  <si>
    <t>https://www.oekobaudat.de/OEKOBAU.DAT/resource/processes/6e50c70d-3339-4118-b5be-4f27d5bca333?version=20.23.050</t>
  </si>
  <si>
    <t>#G1157</t>
  </si>
  <si>
    <t>Pvc-dachbahnen</t>
  </si>
  <si>
    <t xml:space="preserve">Tagmembran, PVC </t>
  </si>
  <si>
    <t>https://www.oekobaudat.de/OEKOBAU.DAT/resource/processes/57bb6738-f9d8-4c59-b00a-00a217e9feba?version=20.23.050</t>
  </si>
  <si>
    <t>#G0140</t>
  </si>
  <si>
    <t>Fußbodenheizung pex (100 mm abstand)</t>
  </si>
  <si>
    <t xml:space="preserve">Gulvvarmesystem inkl. isolering, PEX, 100 mm afstand </t>
  </si>
  <si>
    <t>https://www.oekobaudat.de/OEKOBAU.DAT/resource/processes/87860f4c-ffd2-4fd9-a381-04b3975c28ae?version=20.23.050</t>
  </si>
  <si>
    <t>#G0659</t>
  </si>
  <si>
    <t>Fußbodenheizung pp (100 mm abstand)</t>
  </si>
  <si>
    <t xml:space="preserve">Gulvvarmesystem inkl. isolering PP (100 mm) </t>
  </si>
  <si>
    <t>https://www.oekobaudat.de/OEKOBAU.DAT/resource/processes/979226f9-7902-47c6-8cee-5a94ba63185a?version=20.23.050</t>
  </si>
  <si>
    <t>#G0984</t>
  </si>
  <si>
    <t>Fensterglas einfach</t>
  </si>
  <si>
    <t xml:space="preserve">Glas 4 mm </t>
  </si>
  <si>
    <t>#G0617</t>
  </si>
  <si>
    <t>Natursteinplatte, weich, fassade (40mm)</t>
  </si>
  <si>
    <t xml:space="preserve">Naturstenplade, blød, facade </t>
  </si>
  <si>
    <t>https://www.oekobaudat.de/OEKOBAU.DAT/resource/processes/ed73e591-97c9-4348-b3b0-5c88a6f4e1dc?version=20.23.050</t>
  </si>
  <si>
    <t>#G1266</t>
  </si>
  <si>
    <t>Wdvs verklebung und beschichtung leichtputz mineralisch</t>
  </si>
  <si>
    <t xml:space="preserve">ETICS limning og mineralsk letpuds </t>
  </si>
  <si>
    <t>#G1287</t>
  </si>
  <si>
    <t>Wdvs verklebung und beschichtung silikonharzputz</t>
  </si>
  <si>
    <t xml:space="preserve">ETICS limning og silikonepuds </t>
  </si>
  <si>
    <t>#G1251</t>
  </si>
  <si>
    <t>Wdvs verklebung und beschichtung silikat-dispersionsputz</t>
  </si>
  <si>
    <t xml:space="preserve">ETICS-limning og belægning af silikatdispersionspuds </t>
  </si>
  <si>
    <t>#G1256</t>
  </si>
  <si>
    <t>Wdvs verklebung und beschichtung kunstharzputz</t>
  </si>
  <si>
    <t xml:space="preserve">ETICS-limning og belægning af syntetisk harpikspuds </t>
  </si>
  <si>
    <t>#G1145</t>
  </si>
  <si>
    <t>Lehmbauplatte</t>
  </si>
  <si>
    <t xml:space="preserve">Lerplade (tykkelse 0,02 m) </t>
  </si>
  <si>
    <t>https://www.oekobaudat.de/OEKOBAU.DAT/resource/processes/eb255e58-7955-4d25-a333-4db0340b2864?version=20.23.050</t>
  </si>
  <si>
    <t>#G0523</t>
  </si>
  <si>
    <t>Pfosten/riegel system aus aluminium mit dreifachverglasung</t>
  </si>
  <si>
    <t xml:space="preserve">Curtain wall facade med 3-lags ruder, aluminium </t>
  </si>
  <si>
    <t>https://www.oekobaudat.de/OEKOBAU.DAT/resource/processes/4dd9a97f-6afa-4e12-a0fb-71da41d7afe4?version=20.23.050</t>
  </si>
  <si>
    <t>#G1270</t>
  </si>
  <si>
    <t>Wdvs verklebung und beschichtung dekorputz mineralisch</t>
  </si>
  <si>
    <t xml:space="preserve">ETICS limning og mineralsk puds (Dekorputz) </t>
  </si>
  <si>
    <t>#G0704</t>
  </si>
  <si>
    <t>Solaranlage flachkollektor</t>
  </si>
  <si>
    <t xml:space="preserve">Solvarmekollektor, plan </t>
  </si>
  <si>
    <t>#G0327</t>
  </si>
  <si>
    <t>Eva-dachbahnen</t>
  </si>
  <si>
    <t xml:space="preserve">EVA-tagmembran </t>
  </si>
  <si>
    <t>#G1177</t>
  </si>
  <si>
    <t>Dachbahnen epdm</t>
  </si>
  <si>
    <t xml:space="preserve">Tagfolie EPDM </t>
  </si>
  <si>
    <t>https://www.oekobaudat.de/OEKOBAU.DAT/resource/processes/48a0f50e-6dd0-4495-b0a4-210315b06680?version=20.23.050</t>
  </si>
  <si>
    <t>#G0423</t>
  </si>
  <si>
    <t>Ecb kunststoff-dachbahn nach din 16729 (mit pes vlies)</t>
  </si>
  <si>
    <t xml:space="preserve">ECB-plast tagmembran, ifølge DIN 16729 (med PES-filt) </t>
  </si>
  <si>
    <t>#G1114</t>
  </si>
  <si>
    <t>Steinzeugfliesen glasiert</t>
  </si>
  <si>
    <t xml:space="preserve">Keramikfliser, glaseret </t>
  </si>
  <si>
    <t>https://www.oekobaudat.de/OEKOBAU.DAT/resource/processes/422b43de-406b-46fa-8a87-c5d446fba399?version=20.23.050</t>
  </si>
  <si>
    <t>#G0340</t>
  </si>
  <si>
    <t>Steinzeugfliesen unglasiert</t>
  </si>
  <si>
    <t xml:space="preserve">Keramikfliser, u-glaseret </t>
  </si>
  <si>
    <t>#G1117</t>
  </si>
  <si>
    <t>Trockenestrich (gipskartonplatte; 25 mm)</t>
  </si>
  <si>
    <t xml:space="preserve">Gips, tørstof (gipskartonplade) (tykkelse 0,025 m) </t>
  </si>
  <si>
    <t>https://www.oekobaudat.de/OEKOBAU.DAT/resource/processes/93a02bbc-e268-4d2f-a8c4-7cda473b7eab?version=20.23.050</t>
  </si>
  <si>
    <t>#G0210</t>
  </si>
  <si>
    <t>Isolierglas 2-scheiben</t>
  </si>
  <si>
    <t xml:space="preserve">Rude, 2-lags </t>
  </si>
  <si>
    <t>#G1102</t>
  </si>
  <si>
    <t>Natursteinplatte, hart, außenbereich, dicke 80mm</t>
  </si>
  <si>
    <t xml:space="preserve">Naturstensplade, udendørsbrug </t>
  </si>
  <si>
    <t>https://www.oekobaudat.de/OEKOBAU.DAT/resource/processes/72d8921b-8ac0-471b-943a-47871bd8d76a?version=20.23.050</t>
  </si>
  <si>
    <t>#G0111</t>
  </si>
  <si>
    <t>Pfosten/riegel system aus stahl mit dreifachverglasung</t>
  </si>
  <si>
    <t xml:space="preserve">Curtain wall facade med 3-lags ruder, stål </t>
  </si>
  <si>
    <t>https://www.oekobaudat.de/OEKOBAU.DAT/resource/processes/77dbec35-a9ed-462f-91dc-c26fce408a2b?version=20.23.050</t>
  </si>
  <si>
    <t>#G1119</t>
  </si>
  <si>
    <t>Trockenestrich (gipsfaserplatte; 25 mm)</t>
  </si>
  <si>
    <t xml:space="preserve">Gips, tørstof (gipsfiberplade) (tykkelse 0,025 m) </t>
  </si>
  <si>
    <t>https://www.oekobaudat.de/OEKOBAU.DAT/resource/processes/3ef401d0-e1fc-4ff3-bf94-a3ee6a460fdf?version=20.23.050</t>
  </si>
  <si>
    <t>#G1154</t>
  </si>
  <si>
    <t>Linoleum</t>
  </si>
  <si>
    <t xml:space="preserve">Linoleum gulvbelægning (tykkelse 0,0025 m) </t>
  </si>
  <si>
    <t>https://www.oekobaudat.de/OEKOBAU.DAT/resource/processes/c3d7aef9-38a6-4d2a-a77f-2eee25461482?version=20.23.050</t>
  </si>
  <si>
    <t>#G0858</t>
  </si>
  <si>
    <t>Pvc fußbodenbelag</t>
  </si>
  <si>
    <t xml:space="preserve">PVC gulvbelægning </t>
  </si>
  <si>
    <t>https://www.oekobaudat.de/OEKOBAU.DAT/resource/processes/788de5d9-a671-4cd6-9e86-760bb5203ec1?version=20.23.050</t>
  </si>
  <si>
    <t>#G0719</t>
  </si>
  <si>
    <t>Fußbodenheizung kupfer (200 mm abstand)</t>
  </si>
  <si>
    <t xml:space="preserve">Gulvvarmesystem inkl. isolering, kobber (200 mm afstand) </t>
  </si>
  <si>
    <t>https://www.oekobaudat.de/OEKOBAU.DAT/resource/processes/1a068fac-fca7-4891-8891-4511e1711b4c?version=20.23.050</t>
  </si>
  <si>
    <t>#G0595</t>
  </si>
  <si>
    <t>Gummi-bodenbelag mit schaumstoffbeschichtung en 1816</t>
  </si>
  <si>
    <t xml:space="preserve">Gummigulve med skumbagside EN 1816 </t>
  </si>
  <si>
    <t>#G1075</t>
  </si>
  <si>
    <t>Dreifachverglasung</t>
  </si>
  <si>
    <t xml:space="preserve">Rude, 3-lags </t>
  </si>
  <si>
    <t>https://www.oekobaudat.de/OEKOBAU.DAT/resource/processes/6eaddefb-7a0f-43e4-a0cb-8459c26e0947?version=20.23.050</t>
  </si>
  <si>
    <t>#G1234</t>
  </si>
  <si>
    <t>Wdvs verklebung und beschichtung kratzputz mineralisch</t>
  </si>
  <si>
    <t xml:space="preserve">ETICS limning og mineralsk puds (Kratzputz) </t>
  </si>
  <si>
    <t>#G1079</t>
  </si>
  <si>
    <t>Gummi-bodenbelag profiliert en 12199</t>
  </si>
  <si>
    <t xml:space="preserve">Gummigulve profileret EN 12199 </t>
  </si>
  <si>
    <t>https://www.oekobaudat.de/OEKOBAU.DAT/resource/processes/df441c17-25cb-4a50-add5-a2928933903d?version=20.23.050</t>
  </si>
  <si>
    <t>#G1139</t>
  </si>
  <si>
    <t>Bitumenbahnen v 60</t>
  </si>
  <si>
    <t xml:space="preserve">Dampspærre, bitumen </t>
  </si>
  <si>
    <t>https://www.oekobaudat.de/OEKOBAU.DAT/resource/processes/da3f32e3-7b0d-44f2-ba03-8dd93aa94f75?version=20.23.050</t>
  </si>
  <si>
    <t>#G0477</t>
  </si>
  <si>
    <t>Fußbodenheizung kupfer (100 mm abstand)</t>
  </si>
  <si>
    <t xml:space="preserve">Gulvvarmesystem inkl. isolering, kobber (100 mm afstand) </t>
  </si>
  <si>
    <t>https://www.oekobaudat.de/OEKOBAU.DAT/resource/processes/f55e9321-9133-4259-8abe-fe9cd8ae9171?version=20.23.050</t>
  </si>
  <si>
    <t>#G0768</t>
  </si>
  <si>
    <t>Feuerverzinktes stahlblech</t>
  </si>
  <si>
    <t xml:space="preserve">Stål, Varmgalvaniseret stålplade </t>
  </si>
  <si>
    <t>#G0270</t>
  </si>
  <si>
    <t>Kunststeinplatte (epoxidharz gebunden)</t>
  </si>
  <si>
    <t xml:space="preserve">Kunststenplade (bundet af epoxyharpiks) </t>
  </si>
  <si>
    <t>#G1082</t>
  </si>
  <si>
    <t>Natursteinplatte, weich, innenboden, dicke 20mm</t>
  </si>
  <si>
    <t xml:space="preserve">Naturstenplade, blød, gulv </t>
  </si>
  <si>
    <t>https://www.oekobaudat.de/OEKOBAU.DAT/resource/processes/98c9f1b8-ff8c-4089-bd94-ec58b3fa1bf5?version=20.23.050</t>
  </si>
  <si>
    <t>#G1085</t>
  </si>
  <si>
    <t>Marmorplatte</t>
  </si>
  <si>
    <t xml:space="preserve">Marmorplade (tykkelse 0,02 m) </t>
  </si>
  <si>
    <t>https://www.oekobaudat.de/OEKOBAU.DAT/resource/processes/02ec5054-ace1-4ffc-a46b-92be3bedb416?version=20.23.050</t>
  </si>
  <si>
    <t>#G1088</t>
  </si>
  <si>
    <t>Natursteinplatte, hart, innenboden (20mm)</t>
  </si>
  <si>
    <t xml:space="preserve">Naturstenplade, hård, gulv </t>
  </si>
  <si>
    <t>https://www.oekobaudat.de/OEKOBAU.DAT/resource/processes/1e8f900e-eda3-43d9-b2cc-746dc1798a40?version=20.23.050</t>
  </si>
  <si>
    <t>#G1105</t>
  </si>
  <si>
    <t>Bitumenbahnen pye-pv 200 s5 ns (geschiefert)</t>
  </si>
  <si>
    <t xml:space="preserve">Tagpap, bitumen toplag, skiferbestrøet </t>
  </si>
  <si>
    <t>https://www.oekobaudat.de/OEKOBAU.DAT/resource/processes/547d0037-2ebd-40ef-b2a5-1d742afc2851?version=20.23.050</t>
  </si>
  <si>
    <t>#G0849</t>
  </si>
  <si>
    <t>Rollladen kunststoff</t>
  </si>
  <si>
    <t>#G1108</t>
  </si>
  <si>
    <t>Natursteinplatte, hart, fassade (30mm)</t>
  </si>
  <si>
    <t xml:space="preserve">Naturstenplade, hård, facade </t>
  </si>
  <si>
    <t>https://www.oekobaudat.de/OEKOBAU.DAT/resource/processes/ffadb112-7271-460a-aaec-60135df38fba?version=20.23.050</t>
  </si>
  <si>
    <t>#G1292</t>
  </si>
  <si>
    <t>Oriented Strand Board (German average)</t>
  </si>
  <si>
    <t xml:space="preserve">OSB-plade </t>
  </si>
  <si>
    <t>https://oekobaudat.de/OEKOBAU.DAT/datasetdetail/process.xhtml?uuid=aab0ed28-e5b0-43d6-a932-4cdc4770c518&amp;version=01.00.025&amp;stock=OBD_2023_I&amp;lang=en</t>
  </si>
  <si>
    <t>#G1294</t>
  </si>
  <si>
    <t>Spanplatte - melaminbeschichtet (Durchschnitt DE)</t>
  </si>
  <si>
    <t xml:space="preserve">Spånplade, melaminbelagt </t>
  </si>
  <si>
    <t>https://oekobaudat.de/OEKOBAU.DAT/datasetdetail/process.xhtml?uuid=ff5343ea-d28e-4c1c-ab30-6438c1df7fa8&amp;version=00.00.028&amp;stock=OBD_2023_I&amp;lang=en</t>
  </si>
  <si>
    <t>#G0701</t>
  </si>
  <si>
    <t>Spanplatte (generisch)</t>
  </si>
  <si>
    <t xml:space="preserve">Spånplade </t>
  </si>
  <si>
    <t>https://www.oekobaudat.de/OEKOBAU.DAT/resource/processes/07a8b3de-9406-4184-bb6e-c9208983c868?version=20.23.050</t>
  </si>
  <si>
    <t>#G1297</t>
  </si>
  <si>
    <t>Mitteldichte faserplatte (durchschnitt de)</t>
  </si>
  <si>
    <t xml:space="preserve">Træfiberplade, medium densitet, MDF </t>
  </si>
  <si>
    <t>https://oekobaudat.de/OEKOBAU.DAT/datasetdetail/process.xhtml?uuid=b513a7f4-a689-4d5e-8efd-349fb25d21cb&amp;version=00.00.026&amp;stock=OBD_2023_I&amp;lang=en</t>
  </si>
  <si>
    <t>#G0614</t>
  </si>
  <si>
    <t>Transparente platten pmma, gegossen</t>
  </si>
  <si>
    <t xml:space="preserve">Plastplade, transparent, PMMA støbte </t>
  </si>
  <si>
    <t>#G0827</t>
  </si>
  <si>
    <t>Transparente platten pmma, extrudiert</t>
  </si>
  <si>
    <t xml:space="preserve">Plastplade, transparent, PMMA ekstruderet </t>
  </si>
  <si>
    <t>#G0457</t>
  </si>
  <si>
    <t>Zementgebundene spanplatte (generisch)</t>
  </si>
  <si>
    <t xml:space="preserve">Cementbundet spånplade </t>
  </si>
  <si>
    <t>https://www.oekobaudat.de/OEKOBAU.DAT/resource/processes/c772eb77-7b60-4b1f-8b5b-0be23e26549a?version=20.23.050</t>
  </si>
  <si>
    <t>#G0707</t>
  </si>
  <si>
    <t>Lehmstein</t>
  </si>
  <si>
    <t xml:space="preserve">Lersten </t>
  </si>
  <si>
    <t>#G0943</t>
  </si>
  <si>
    <t>Transparente platten pc</t>
  </si>
  <si>
    <t xml:space="preserve">Plastplade, transparent, PC </t>
  </si>
  <si>
    <t>#G0737</t>
  </si>
  <si>
    <t>Transparente platten pvc</t>
  </si>
  <si>
    <t xml:space="preserve">Plastplade, transparent, PVC </t>
  </si>
  <si>
    <t>#G0446</t>
  </si>
  <si>
    <t>Hüttenstein</t>
  </si>
  <si>
    <t xml:space="preserve">Slaggebeton, sten </t>
  </si>
  <si>
    <t>https://www.oekobaudat.de/OEKOBAU.DAT/resource/processes/9fb201e2-741a-49bb-871d-098bfa312f8e?version=20.23.050</t>
  </si>
  <si>
    <t>#G0533</t>
  </si>
  <si>
    <t>Hpl-platte</t>
  </si>
  <si>
    <t xml:space="preserve">HPL- plade </t>
  </si>
  <si>
    <t>#G0161</t>
  </si>
  <si>
    <t>Schüttung aus polystyrolschaumstoff-partikeln (ohne bindemittel)</t>
  </si>
  <si>
    <t xml:space="preserve">Polystyren skumfyldning (uden bindemiddel) </t>
  </si>
  <si>
    <t>https://www.oekobaudat.de/OEKOBAU.DAT/resource/processes/198043f5-de31-4fab-a300-53639b983dd1?version=20.23.050</t>
  </si>
  <si>
    <t>#G0862</t>
  </si>
  <si>
    <t>Holzfaserdämmplatte (nassverfahren)</t>
  </si>
  <si>
    <t xml:space="preserve">Træfiberisoleringsplade (våd proces) </t>
  </si>
  <si>
    <t>https://www.oekobaudat.de/OEKOBAU.DAT/resource/processes/eefa40b3-7156-43a9-b197-b908f204432b?version=20.23.050</t>
  </si>
  <si>
    <t>#G0790</t>
  </si>
  <si>
    <t>Kunstharzputz</t>
  </si>
  <si>
    <t xml:space="preserve">Puds, syntetisk harpiks </t>
  </si>
  <si>
    <t>#G0217</t>
  </si>
  <si>
    <t>Kalkputzmörtel</t>
  </si>
  <si>
    <t xml:space="preserve">Kalkpuds </t>
  </si>
  <si>
    <t>https://www.oekobaudat.de/OEKOBAU.DAT/resource/processes/54e731d4-b14d-48eb-bbe5-02eb19e6a7e3?version=20.23.050</t>
  </si>
  <si>
    <t>#G0245</t>
  </si>
  <si>
    <t>Fassadenklinker</t>
  </si>
  <si>
    <t xml:space="preserve">Facadeklinker </t>
  </si>
  <si>
    <t>#G0330</t>
  </si>
  <si>
    <t>Beton-mauersteine</t>
  </si>
  <si>
    <t xml:space="preserve">Betonmursten </t>
  </si>
  <si>
    <t>#G0743</t>
  </si>
  <si>
    <t>Stampflehmwand</t>
  </si>
  <si>
    <t xml:space="preserve">Ler, stampet ler </t>
  </si>
  <si>
    <t>#G0691</t>
  </si>
  <si>
    <t>Calziumsilikatplatte</t>
  </si>
  <si>
    <t xml:space="preserve">Kalciumsilikatplade </t>
  </si>
  <si>
    <t>#G0954</t>
  </si>
  <si>
    <t>Glasbausteine</t>
  </si>
  <si>
    <t xml:space="preserve">Glasbyggesten </t>
  </si>
  <si>
    <t>#G0632</t>
  </si>
  <si>
    <t>Polyurethan hartschaum (rohrisolierung)</t>
  </si>
  <si>
    <t xml:space="preserve">Polyurethanskum (rørisolering) </t>
  </si>
  <si>
    <t>#G0916</t>
  </si>
  <si>
    <t>Pir hartschaum</t>
  </si>
  <si>
    <t xml:space="preserve">PIR-skum, høj densitet (250 kg/m3) </t>
  </si>
  <si>
    <t>https://www.oekobaudat.de/OEKOBAU.DAT/resource/processes/c2ba651c-00bf-4f69-a0dc-a6a5fe680652?version=20.23.050</t>
  </si>
  <si>
    <t>#G0650</t>
  </si>
  <si>
    <t>Schüttung aus polystyrolschaumstoff-partikeln (zementgebunden)</t>
  </si>
  <si>
    <t xml:space="preserve">Polystyren granulat (cementbundet) </t>
  </si>
  <si>
    <t>https://www.oekobaudat.de/OEKOBAU.DAT/resource/processes/84e317e1-9d87-4246-bd95-0777aaf2dc3f?version=20.23.050</t>
  </si>
  <si>
    <t>#G0404</t>
  </si>
  <si>
    <t>Flachsvlies</t>
  </si>
  <si>
    <t xml:space="preserve">Hørfiberdug </t>
  </si>
  <si>
    <t>#G0713</t>
  </si>
  <si>
    <t>Hanfvlies</t>
  </si>
  <si>
    <t xml:space="preserve">Hampfiberdug </t>
  </si>
  <si>
    <t>#G0746</t>
  </si>
  <si>
    <t>Porenbeton granulat</t>
  </si>
  <si>
    <t xml:space="preserve">Porebeton granulat </t>
  </si>
  <si>
    <t>#G0369</t>
  </si>
  <si>
    <t>Furnierschichtholz (generisch)</t>
  </si>
  <si>
    <t xml:space="preserve">Kertotræ (LVL) </t>
  </si>
  <si>
    <t>#G0973</t>
  </si>
  <si>
    <t>Porenbeton p4 05 unbewehrt</t>
  </si>
  <si>
    <t xml:space="preserve">Porebeton 472 kg/m³ </t>
  </si>
  <si>
    <t>#G0536</t>
  </si>
  <si>
    <t>Schnittholz fichte (generisch, 12% feuchte/10.7% h2o)</t>
  </si>
  <si>
    <t xml:space="preserve">Træ, gran (12% fugt / 10,7% H2O) </t>
  </si>
  <si>
    <t>https://www.oekobaudat.de/OEKOBAU.DAT/resource/processes/5f5a9cef-8b0a-4a8a-9828-9a681e5ee399?version=20.23.050</t>
  </si>
  <si>
    <t>#G0242</t>
  </si>
  <si>
    <t>Porenbeton p4 05 bewehrt</t>
  </si>
  <si>
    <t xml:space="preserve">Porebeton 474 kg/m³, armeret </t>
  </si>
  <si>
    <t>#G0899</t>
  </si>
  <si>
    <t>Schnittholz kiefer (generisch, 12% feuchte/10,7% h2o)</t>
  </si>
  <si>
    <t xml:space="preserve">Træ, fyrretræ (12% fugt / 10,7% H2O) </t>
  </si>
  <si>
    <t>https://www.oekobaudat.de/OEKOBAU.DAT/resource/processes/d171cb17-81c4-41c9-9e14-0da45be14221?version=20.23.050</t>
  </si>
  <si>
    <t>#G0181</t>
  </si>
  <si>
    <t>Epdm schaum (rohrisolierung)</t>
  </si>
  <si>
    <t xml:space="preserve">EPDM skum (rørisolering) </t>
  </si>
  <si>
    <t>#G0592</t>
  </si>
  <si>
    <t>Schnittholz zeder (generisch, 12% feuchte/10,7% h2o)</t>
  </si>
  <si>
    <t xml:space="preserve">Træ, ceder </t>
  </si>
  <si>
    <t>https://www.oekobaudat.de/OEKOBAU.DAT/resource/processes/de1d54e8-8211-416b-9ff6-cebeb5123c71?version=20.23.050</t>
  </si>
  <si>
    <t>#G0221</t>
  </si>
  <si>
    <t>Schnittholz lärche (generisch, 12% feuchte/10,7% h2o)</t>
  </si>
  <si>
    <t xml:space="preserve">Træ, lærk </t>
  </si>
  <si>
    <t>https://www.oekobaudat.de/OEKOBAU.DAT/resource/processes/9d1d96af-3f9b-41fb-bd33-43ec9e2fd1fd?version=20.23.050</t>
  </si>
  <si>
    <t>#G0407</t>
  </si>
  <si>
    <t>Schnittholz eiche (generisch, 12% feuchte/10.7% h2o)</t>
  </si>
  <si>
    <t xml:space="preserve">Træ, egetræ (12% fugt / 10,7% H2O) </t>
  </si>
  <si>
    <t>https://www.oekobaudat.de/OEKOBAU.DAT/resource/processes/54343f3c-d101-4dd4-883f-0515c44e38de?version=20.23.050</t>
  </si>
  <si>
    <t>#G1035</t>
  </si>
  <si>
    <t>Schnittholz buche (generisch, 12% feuchte/10,7% h2o)</t>
  </si>
  <si>
    <t xml:space="preserve">Træbrædder, bøg (12% fugtighed / 10,7% H2O) </t>
  </si>
  <si>
    <t>https://www.oekobaudat.de/OEKOBAU.DAT/resource/processes/47522e31-78c8-43ea-aac4-c7c9d6ca30ab?version=20.23.050</t>
  </si>
  <si>
    <t>#G0261</t>
  </si>
  <si>
    <t>Zellulosefaserplatten</t>
  </si>
  <si>
    <t xml:space="preserve">Papiruldsplader </t>
  </si>
  <si>
    <t>#G0366</t>
  </si>
  <si>
    <t>Expandierter kork</t>
  </si>
  <si>
    <t xml:space="preserve">Kork, expanderet </t>
  </si>
  <si>
    <t>#G1296</t>
  </si>
  <si>
    <t>Hochdichte faserplatte (durchschnitt de)</t>
  </si>
  <si>
    <t xml:space="preserve">Træfiberplade, høj densitet, HDF </t>
  </si>
  <si>
    <t>https://oekobaudat.de/OEKOBAU.DAT/datasetdetail/process.xhtml?uuid=f9f40b59-268d-4a0b-8c80-d978ac97608f&amp;version=00.00.026&amp;stock=OBD_2023_I&amp;lang=en</t>
  </si>
  <si>
    <t>#G0645</t>
  </si>
  <si>
    <t>Kalk-gips-innenputz</t>
  </si>
  <si>
    <t xml:space="preserve">Puds, kalk-gips, inde </t>
  </si>
  <si>
    <t>#G1021</t>
  </si>
  <si>
    <t>Gips kalk putz</t>
  </si>
  <si>
    <t xml:space="preserve">Puds, gips </t>
  </si>
  <si>
    <t>https://www.oekobaudat.de/OEKOBAU.DAT/resource/processes/a3c3d772-142f-4494-ab5e-c3eb604bbe55?version=20.23.050</t>
  </si>
  <si>
    <t>#G1253</t>
  </si>
  <si>
    <t>Bims-planstein (sfk-4)</t>
  </si>
  <si>
    <t xml:space="preserve">Pimpsten (SFK-4) </t>
  </si>
  <si>
    <t>#G0543</t>
  </si>
  <si>
    <t>Lehmputz</t>
  </si>
  <si>
    <t xml:space="preserve">Lerpuds </t>
  </si>
  <si>
    <t>#G1041</t>
  </si>
  <si>
    <t>Kalk-innenputz</t>
  </si>
  <si>
    <t xml:space="preserve">Kalkpuds, tørstof </t>
  </si>
  <si>
    <t>#G1057</t>
  </si>
  <si>
    <t>Klimagerät (direktverdampfer) (pro 1 kw)</t>
  </si>
  <si>
    <t xml:space="preserve">Aircondition (direkte fordamper) (per 1 kW) </t>
  </si>
  <si>
    <t>https://www.oekobaudat.de/OEKOBAU.DAT/resource/processes/9da0974d-cd0c-402f-a72e-ee07f2da68d6?version=20.23.050</t>
  </si>
  <si>
    <t>#G1071</t>
  </si>
  <si>
    <t>Fenster-beschlag für horizontales schiebefenster</t>
  </si>
  <si>
    <t xml:space="preserve">Beslag til vandrette skydevinduer </t>
  </si>
  <si>
    <t>https://www.oekobaudat.de/OEKOBAU.DAT/resource/processes/640ca097-4329-47d0-a762-7ed858239c3a?version=20.23.050</t>
  </si>
  <si>
    <t>#G0453</t>
  </si>
  <si>
    <t>Fahrtreppe - Komponenten (förderhöhenabhängig)</t>
  </si>
  <si>
    <t xml:space="preserve">Rulletrappe (komponenter, som er afhængige af højden) </t>
  </si>
  <si>
    <t>https://www.oekobaudat.de/OEKOBAU.DAT/resource/processes/7ab14975-7e67-4226-9f08-c63448e6b70a?version=20.23.050</t>
  </si>
  <si>
    <t>#G0289</t>
  </si>
  <si>
    <t>Lüfter dezentral (wand &amp; decke) 60 m3/h</t>
  </si>
  <si>
    <t xml:space="preserve">Ventilationsanlæg decentraliseret (væg &amp; loft) 60 m3/h </t>
  </si>
  <si>
    <t>https://www.oekobaudat.de/OEKOBAU.DAT/resource/processes/cb36ce5f-47d7-4d02-bc07-1e8da903e5c0?version=20.23.050</t>
  </si>
  <si>
    <t>#G0644</t>
  </si>
  <si>
    <t>Fenster-beschlag für vertikales schiebefenster</t>
  </si>
  <si>
    <t xml:space="preserve">Beslag til lodrette skydevinduer </t>
  </si>
  <si>
    <t>https://www.oekobaudat.de/OEKOBAU.DAT/resource/processes/67331443-825b-4e74-87bb-27d5a55dd159?version=20.23.050</t>
  </si>
  <si>
    <t>#G0785</t>
  </si>
  <si>
    <t>Fenster-beschlag für doppelflügelfenster</t>
  </si>
  <si>
    <t xml:space="preserve">Vinduesbeslag, aluminium </t>
  </si>
  <si>
    <t>https://www.oekobaudat.de/OEKOBAU.DAT/resource/processes/69c60c09-e729-4327-b0fd-2b778c6942c5?version=20.23.050</t>
  </si>
  <si>
    <t>#G0130</t>
  </si>
  <si>
    <t>Lüfter dezentral mit wrg (wand &amp; decke) 60 m3/h</t>
  </si>
  <si>
    <t xml:space="preserve">Decentralt ventilationsanlæg med varmegenvinding (væg &amp; loft) 60 m3/h </t>
  </si>
  <si>
    <t>https://www.oekobaudat.de/OEKOBAU.DAT/resource/processes/ef7e0021-d6d9-4940-8160-cb63021a50c6?version=20.23.050</t>
  </si>
  <si>
    <t>#G0800</t>
  </si>
  <si>
    <t>Fahrtreppe - Grundkomponenten (unabhängig von der Förderhöhe)</t>
  </si>
  <si>
    <t xml:space="preserve">Rulletrappe (grundkomponenter pr. trappe) </t>
  </si>
  <si>
    <t>https://www.oekobaudat.de/OEKOBAU.DAT/resource/processes/2f4fd218-4f75-4657-aed8-b6f13e83dfc5?version=20.23.050</t>
  </si>
  <si>
    <t>#G1222</t>
  </si>
  <si>
    <t>Medallion Door</t>
  </si>
  <si>
    <t xml:space="preserve">Dør, stål, indv/udv/brand/røg mv </t>
  </si>
  <si>
    <t>https://oekobaudat.de/OEKOBAU.DAT/datasetdetail/process.xhtml?uuid=b9aa9ecd-e541-4ec7-9f33-47b865286aa9&amp;version=00.01.000&amp;stock=OBD_2023_I&amp;lang=en</t>
  </si>
  <si>
    <t>#G0865</t>
  </si>
  <si>
    <t>Fenstergriff</t>
  </si>
  <si>
    <t xml:space="preserve">Vindueshåndtag </t>
  </si>
  <si>
    <t>#G0392</t>
  </si>
  <si>
    <t>Fenster-beschlag für drehkippfenster (aluminium)</t>
  </si>
  <si>
    <t xml:space="preserve">Beslag til dreje-kip vinduer (aluminium) </t>
  </si>
  <si>
    <t>https://www.oekobaudat.de/OEKOBAU.DAT/resource/processes/8dc96f29-ec8d-43ba-ba08-a2362003078a?version=20.23.050</t>
  </si>
  <si>
    <t>#G0882</t>
  </si>
  <si>
    <t>Strom-wärmepumpe (wasser-wasser) 20 kw</t>
  </si>
  <si>
    <t xml:space="preserve">Varmepumpe, vand-vand, 20 kW </t>
  </si>
  <si>
    <t>https://www.oekobaudat.de/OEKOBAU.DAT/resource/processes/0cfcc4ad-1469-458b-a842-b65af7af3e85?version=20.23.050</t>
  </si>
  <si>
    <t>#G0598</t>
  </si>
  <si>
    <t>Strom-wärmepumpe (wasser-wasser) 10 kw</t>
  </si>
  <si>
    <t xml:space="preserve">Varmepumpe, vand-vand, 10 kW </t>
  </si>
  <si>
    <t>https://www.oekobaudat.de/OEKOBAU.DAT/resource/processes/5b4acb87-0a01-41d7-85a6-213dec526682?version=20.23.050</t>
  </si>
  <si>
    <t>#G0913</t>
  </si>
  <si>
    <t>Flüssiggastank 4850 l/2,1t (oberirdisch)</t>
  </si>
  <si>
    <t xml:space="preserve">LPG tank 4850 l / 2,1t (overjordiske) </t>
  </si>
  <si>
    <t>https://www.oekobaudat.de/OEKOBAU.DAT/resource/processes/58b82b81-40bd-4c25-b8f2-c14dab8619da?version=20.23.050</t>
  </si>
  <si>
    <t>#G0566</t>
  </si>
  <si>
    <t>Flüssiggastank 4850 l/2,1 t (unterirdisch)</t>
  </si>
  <si>
    <t xml:space="preserve">LPG tank 4850 l / 2,1 t (underjordisk) </t>
  </si>
  <si>
    <t>https://www.oekobaudat.de/OEKOBAU.DAT/resource/processes/eba7908d-7cd5-48f8-a707-91954f68ec80?version=20.23.050</t>
  </si>
  <si>
    <t>#G0312</t>
  </si>
  <si>
    <t>Flüssiggastank 6400 l/2,9 t (oberirdisch)</t>
  </si>
  <si>
    <t xml:space="preserve">LPG tank 6400 l / t 2,9 (overjordiske) </t>
  </si>
  <si>
    <t>https://www.oekobaudat.de/OEKOBAU.DAT/resource/processes/90131f95-e18b-4d64-99dd-efbdecba1d6e?version=20.23.050</t>
  </si>
  <si>
    <t>#G0177</t>
  </si>
  <si>
    <t>Gas-niedertemperaturgerät &lt; 20 kw (standgerät)</t>
  </si>
  <si>
    <t xml:space="preserve">Gaskedel, kondenserende, &lt;20 kW </t>
  </si>
  <si>
    <t>https://www.oekobaudat.de/OEKOBAU.DAT/resource/processes/70652929-4cec-4671-a726-1bde18f5c3a5?version=20.23.050</t>
  </si>
  <si>
    <t>#G0095</t>
  </si>
  <si>
    <t>Rohre für strom-wärmepumpe (wasser-wasser) 70 kw</t>
  </si>
  <si>
    <t xml:space="preserve">Rør til el-varmepumpe (vand-vand) 70 kW </t>
  </si>
  <si>
    <t>https://www.oekobaudat.de/OEKOBAU.DAT/resource/processes/4270c3ec-7943-4bac-99de-d53043f0f33c?version=20.23.050</t>
  </si>
  <si>
    <t>#G0986</t>
  </si>
  <si>
    <t>Gas-brennwertgerät &lt; 20 kw (standgerät)</t>
  </si>
  <si>
    <t xml:space="preserve">Kondenserende gaskedel &lt;20 kW (standalone enhed) </t>
  </si>
  <si>
    <t>https://www.oekobaudat.de/OEKOBAU.DAT/resource/processes/230a51a2-2892-414f-9357-49e1df9fb9d0?version=20.23.050</t>
  </si>
  <si>
    <t>#G0602</t>
  </si>
  <si>
    <t>Strom-wärmepumpe (luft-wasser) 10 kw</t>
  </si>
  <si>
    <t xml:space="preserve">Varmepumpe (luft-vand) 10 kW </t>
  </si>
  <si>
    <t>https://www.oekobaudat.de/OEKOBAU.DAT/resource/processes/00ab3cef-5d1b-48c8-a220-4f8ac01b7dd7?version=20.23.050</t>
  </si>
  <si>
    <t>#G0852</t>
  </si>
  <si>
    <t>Strom-wärmepumpe (sole-wasser, erdkollektor) 10 kw</t>
  </si>
  <si>
    <t xml:space="preserve">El-varmepumpe (lodret jordvarme, saltvand) 10 kW </t>
  </si>
  <si>
    <t>https://www.oekobaudat.de/OEKOBAU.DAT/resource/processes/d4c60a37-2753-4f45-9bfe-4cefe31fd857?version=20.23.050</t>
  </si>
  <si>
    <t>#G0815</t>
  </si>
  <si>
    <t>Flüssiggastank 6400 l/2,9 t (unterirdisch)</t>
  </si>
  <si>
    <t xml:space="preserve">LPG tank 6400 l / 2,9 t (underjordisk) </t>
  </si>
  <si>
    <t>https://www.oekobaudat.de/OEKOBAU.DAT/resource/processes/c28a0d9c-8582-4a4e-b848-9f194a52317c?version=20.23.050</t>
  </si>
  <si>
    <t>#G0976</t>
  </si>
  <si>
    <t>Rohre für strom-wärmepumpe (sole-wasser, erdkollektor) 10 kw</t>
  </si>
  <si>
    <t xml:space="preserve">Rør til el-varmepumpe (lodret jordvarme, saltvand), collector, 10 kW </t>
  </si>
  <si>
    <t>https://www.oekobaudat.de/OEKOBAU.DAT/resource/processes/9044465d-5a05-442b-a82c-a40c26cf4150?version=20.23.050</t>
  </si>
  <si>
    <t>#G0919</t>
  </si>
  <si>
    <t>Strom-wärmepumpe (sole-wasser, erdsonde) 20 kw</t>
  </si>
  <si>
    <t xml:space="preserve">El-varmepumpe (lodret jordvarme, saltvand) 20 kW </t>
  </si>
  <si>
    <t>https://www.oekobaudat.de/OEKOBAU.DAT/resource/processes/37ca01de-bb46-4648-a937-7ac200da6142?version=20.23.050</t>
  </si>
  <si>
    <t>#G0253</t>
  </si>
  <si>
    <t>Gaswärmepumpe (luft) 20-70 kw</t>
  </si>
  <si>
    <t xml:space="preserve">Gas varmepumpe (luft) 20-70 kW </t>
  </si>
  <si>
    <t>https://www.oekobaudat.de/OEKOBAU.DAT/resource/processes/ae06899a-fd3f-4ea6-9922-139dfd0e6ba9?version=20.23.050</t>
  </si>
  <si>
    <t>#G0273</t>
  </si>
  <si>
    <t>Fahrstuhl - grundkomponenten (stockwerkunabhängig)</t>
  </si>
  <si>
    <t xml:space="preserve">Elevator (grundkomponenter pr. stk.) </t>
  </si>
  <si>
    <t>https://www.oekobaudat.de/OEKOBAU.DAT/resource/processes/b7dbc0bc-ac9d-4d3e-83bf-f96b3ed5eeea?version=20.23.050</t>
  </si>
  <si>
    <t>#G0100</t>
  </si>
  <si>
    <t>Lüfter zentral 30000 m3/h</t>
  </si>
  <si>
    <t xml:space="preserve">Boksventilator 30.000 m3/h </t>
  </si>
  <si>
    <t>https://www.oekobaudat.de/OEKOBAU.DAT/resource/processes/03f5fc6b-115b-4b86-a528-2f9311d44c9b?version=20.23.050</t>
  </si>
  <si>
    <t>#G1043</t>
  </si>
  <si>
    <t>Strom-wärmepumpe (sole-wasser, erdkollektor) 20 kw</t>
  </si>
  <si>
    <t xml:space="preserve">Varmepumpe, jordvarmeslange, 20 kW </t>
  </si>
  <si>
    <t>https://www.oekobaudat.de/OEKOBAU.DAT/resource/processes/c5dfadb5-96a0-44fb-ac93-3cd1c4786e96?version=20.23.050</t>
  </si>
  <si>
    <t>#G0620</t>
  </si>
  <si>
    <t>Rohre für strom-wärmepumpe (sole-wasser, erdsonde) 70 kw</t>
  </si>
  <si>
    <t xml:space="preserve">Rør til el-varmepumpe (lodret jordvarme, saltvand), probe, 70 kW </t>
  </si>
  <si>
    <t>https://www.oekobaudat.de/OEKOBAU.DAT/resource/processes/734f7419-1378-4b79-af5e-09297e5965d9?version=20.23.050</t>
  </si>
  <si>
    <t>#G0792</t>
  </si>
  <si>
    <t>Strom-wärmepumpe (luft-wasser) 14 kw</t>
  </si>
  <si>
    <t xml:space="preserve">Varmepumpe (luft-vand) 14kW </t>
  </si>
  <si>
    <t>https://www.oekobaudat.de/OEKOBAU.DAT/resource/processes/19a1a962-7b4b-45e8-8446-c82a15675925?version=20.23.050</t>
  </si>
  <si>
    <t>#G0219</t>
  </si>
  <si>
    <t>Rohre für strom-wärmepumpe (sole-wasser, erdsonde) 10 kw</t>
  </si>
  <si>
    <t xml:space="preserve">Rør til el-varmepumpe (lodret jordvarme, saltvand), probe, 10 kW </t>
  </si>
  <si>
    <t>https://www.oekobaudat.de/OEKOBAU.DAT/resource/processes/87e96a7e-8a0b-432f-930b-6b06d07c12c7?version=20.23.050</t>
  </si>
  <si>
    <t>#G0420</t>
  </si>
  <si>
    <t>Betonfertigteil treppe (1,1 m breite, 9 stufen a 16 cm)</t>
  </si>
  <si>
    <t xml:space="preserve">Betontrappe, etagehøj </t>
  </si>
  <si>
    <t>#G0435</t>
  </si>
  <si>
    <t>Strom-wärmepumpe (wasser-wasser) 70 kw</t>
  </si>
  <si>
    <t xml:space="preserve">Varmepumpe, vand-vand, 70 kW </t>
  </si>
  <si>
    <t>https://www.oekobaudat.de/OEKOBAU.DAT/resource/processes/9dcaae24-3f7b-45e6-8318-50ff94ef693f?version=20.23.050</t>
  </si>
  <si>
    <t>#G0902</t>
  </si>
  <si>
    <t>Umwälzpumpe &lt; 50w</t>
  </si>
  <si>
    <t xml:space="preserve">Cirkulationspumpe &lt;50 W </t>
  </si>
  <si>
    <t>https://www.oekobaudat.de/OEKOBAU.DAT/resource/processes/b28fcab6-a377-47bc-b013-246866b07283?version=20.23.050</t>
  </si>
  <si>
    <t>#G0147</t>
  </si>
  <si>
    <t>Beschlagverbund fenster stahl</t>
  </si>
  <si>
    <t xml:space="preserve">Beslag, stålvindue </t>
  </si>
  <si>
    <t>#G0923</t>
  </si>
  <si>
    <t>Öl-niedertemperaturgerät &lt; 20 kw (standgerät)</t>
  </si>
  <si>
    <t xml:space="preserve">Oliekedel, lav temperatur, &lt;20 kW </t>
  </si>
  <si>
    <t>https://www.oekobaudat.de/OEKOBAU.DAT/resource/processes/6f78777f-ba4d-4ab1-865e-456160085938?version=20.23.050</t>
  </si>
  <si>
    <t xml:space="preserve">Oliekedel, lav temperatur, kondenserende, &lt;20 kW </t>
  </si>
  <si>
    <t>#G0993</t>
  </si>
  <si>
    <t>Lithium eisenphosphat (lfp) batterie (pro 1kwh speicherkapazität)</t>
  </si>
  <si>
    <t xml:space="preserve">Lithium jernfosfat (LiFePO4) batteri (1 kWh lagring) </t>
  </si>
  <si>
    <t>https://www.oekobaudat.de/OEKOBAU.DAT/resource/processes/c64f9557-37d7-40f6-b118-a35dc72fc45c?version=20.23.050</t>
  </si>
  <si>
    <t>#G0466</t>
  </si>
  <si>
    <t>Umwälzpumpe 250-1000w</t>
  </si>
  <si>
    <t xml:space="preserve">Cirkulationspumpe 250-1000 W </t>
  </si>
  <si>
    <t>https://www.oekobaudat.de/OEKOBAU.DAT/resource/processes/5b5ed926-7052-48d3-a6b8-9039c04f5036?version=20.23.050</t>
  </si>
  <si>
    <t>#G0844</t>
  </si>
  <si>
    <t>Rohre für strom-wärmepumpe (sole-wasser, erdkollektor) 20 kw</t>
  </si>
  <si>
    <t xml:space="preserve">Rør til el-varmepumpe (lodret jordvarme, saltvand), collector, 20 kW </t>
  </si>
  <si>
    <t>https://www.oekobaudat.de/OEKOBAU.DAT/resource/processes/f5499876-5da9-4807-a30e-9203559a1636?version=20.23.050</t>
  </si>
  <si>
    <t>#G0996</t>
  </si>
  <si>
    <t>Gas-brennwertgerät 20-120 kw (standgerät)</t>
  </si>
  <si>
    <t xml:space="preserve">Kondenserende gaskedel 20-120 kW (standalone enhed) </t>
  </si>
  <si>
    <t>https://www.oekobaudat.de/OEKOBAU.DAT/resource/processes/0b82bbb7-4048-4da5-830c-e040e9f3a929?version=20.23.050</t>
  </si>
  <si>
    <t>#G0868</t>
  </si>
  <si>
    <t>Gas-niedertemperaturgerät 20-120 kw (standgerät)</t>
  </si>
  <si>
    <t xml:space="preserve">Gaskedel, kondenserende, 20-120 kW </t>
  </si>
  <si>
    <t>https://www.oekobaudat.de/OEKOBAU.DAT/resource/processes/d75af170-2269-426a-b72a-1d78f5c4091d?version=20.23.050</t>
  </si>
  <si>
    <t>#G0776</t>
  </si>
  <si>
    <t>Elektrischer durchlauferhitzer (21 kw)</t>
  </si>
  <si>
    <t xml:space="preserve">Vandvarmer, el, gennemstrøm, 21 kW </t>
  </si>
  <si>
    <t>#G0432</t>
  </si>
  <si>
    <t>Rohre für strom-wärmepumpe (wasser-wasser) 10 kw</t>
  </si>
  <si>
    <t xml:space="preserve">Rør til el-varmepumpe (vand-vand) 10 kW </t>
  </si>
  <si>
    <t>https://www.oekobaudat.de/OEKOBAU.DAT/resource/processes/02b43df9-fe34-4839-ac3e-5b47cc5f7674?version=20.23.050</t>
  </si>
  <si>
    <t>#G0460</t>
  </si>
  <si>
    <t>Fahrstuhl - komponenten (stockwerkabhängig)</t>
  </si>
  <si>
    <t xml:space="preserve">Elevator (komponenter pr. etage) </t>
  </si>
  <si>
    <t>https://www.oekobaudat.de/OEKOBAU.DAT/resource/processes/11e6b53d-0d72-4d04-875d-2fc11e3e63a5?version=20.23.050</t>
  </si>
  <si>
    <t>#G1009</t>
  </si>
  <si>
    <t>Pelletkessel &lt; 20 kw</t>
  </si>
  <si>
    <t xml:space="preserve">Pellet-kedel, &lt;20 kW </t>
  </si>
  <si>
    <t>#G0957</t>
  </si>
  <si>
    <t>Hackschnitzelkessel 120 - 400 kw</t>
  </si>
  <si>
    <t xml:space="preserve">Storkerfyr 120-400 kW </t>
  </si>
  <si>
    <t>#G0164</t>
  </si>
  <si>
    <t>Öl-niedertemperaturgerät 20-120 kw (standgerät)</t>
  </si>
  <si>
    <t xml:space="preserve">Oliekedel, lav temperatur, 20-120 kW </t>
  </si>
  <si>
    <t>https://www.oekobaudat.de/OEKOBAU.DAT/resource/processes/b2d632fd-5d02-4a45-b1af-3ff87a21dec2?version=20.23.050</t>
  </si>
  <si>
    <t xml:space="preserve">Oliekedel, lav temperatur, kondenserende, 20-120 kW </t>
  </si>
  <si>
    <t>#G0372</t>
  </si>
  <si>
    <t>Umwälzpumpe 50-250w</t>
  </si>
  <si>
    <t xml:space="preserve">Cirkulationspumpe 50-250 W </t>
  </si>
  <si>
    <t>https://www.oekobaudat.de/OEKOBAU.DAT/resource/processes/700c0c68-8aec-48b8-a276-aa60a01babda?version=20.23.050</t>
  </si>
  <si>
    <t>#G0359</t>
  </si>
  <si>
    <t>Lüfter zentral 5000 m3/h</t>
  </si>
  <si>
    <t xml:space="preserve">Boksventilator 5.000 m3/h </t>
  </si>
  <si>
    <t>https://www.oekobaudat.de/OEKOBAU.DAT/resource/processes/cc2903a5-0475-48c5-8240-c1b0c251b9d3?version=20.23.050</t>
  </si>
  <si>
    <t>#G0547</t>
  </si>
  <si>
    <t>Gas-brennwertgerät &lt; 20 kw (wandgerät)</t>
  </si>
  <si>
    <t xml:space="preserve">Kondenserende gaskedel &lt;20 kW (væg enhed) </t>
  </si>
  <si>
    <t>https://www.oekobaudat.de/OEKOBAU.DAT/resource/processes/31b5024e-90db-4fc8-b6f8-b8919a54eff9?version=20.23.050</t>
  </si>
  <si>
    <t>#G0401</t>
  </si>
  <si>
    <t>Rohre für strom-wärmepumpe (wasser-wasser) 20 kw</t>
  </si>
  <si>
    <t xml:space="preserve">Rør til el-varmepumpe (vand-vand) 20 kW </t>
  </si>
  <si>
    <t>https://www.oekobaudat.de/OEKOBAU.DAT/resource/processes/bbc25eaf-d126-4649-b8fa-0e90b67d314f?version=20.23.050</t>
  </si>
  <si>
    <t>#G0104</t>
  </si>
  <si>
    <t>Strom-wärmepumpe (sole-wasser, erdsonde) 70 kw</t>
  </si>
  <si>
    <t xml:space="preserve">Varmepumpe, jordvarmesonde, 70 kW </t>
  </si>
  <si>
    <t>https://www.oekobaudat.de/OEKOBAU.DAT/resource/processes/c31b821c-214e-4f6f-894f-5f524949e51d?version=20.23.050</t>
  </si>
  <si>
    <t>#G1047</t>
  </si>
  <si>
    <t>Strom-wärmepumpe (sole-wasser, erdkollektor) 70 kw</t>
  </si>
  <si>
    <t xml:space="preserve">Varmepumpe, jordvarmeslange, 70 kW </t>
  </si>
  <si>
    <t>https://www.oekobaudat.de/OEKOBAU.DAT/resource/processes/4058e075-4b05-452b-b3a8-17c2378026df?version=20.23.050</t>
  </si>
  <si>
    <t>#G0224</t>
  </si>
  <si>
    <t>Rohre für strom-wärmepumpe (sole-wasser, erdsonde) 20 kw</t>
  </si>
  <si>
    <t xml:space="preserve">Rør til el-varmepumpe (lodret jordvarme, saltvand), probe, 20 kW </t>
  </si>
  <si>
    <t>https://www.oekobaudat.de/OEKOBAU.DAT/resource/processes/93a80673-df5c-4432-958f-f241ff31fd9a?version=20.23.050</t>
  </si>
  <si>
    <t>#G1025</t>
  </si>
  <si>
    <t>Strom-wärmepumpe (sole-wasser, erdsonde) 10 kw</t>
  </si>
  <si>
    <t xml:space="preserve">Varmepumpe, jordvarmesonde, 10 kW </t>
  </si>
  <si>
    <t>https://www.oekobaudat.de/OEKOBAU.DAT/resource/processes/d939cdd6-98eb-4fcd-9e30-c77ded7a5399?version=20.23.050</t>
  </si>
  <si>
    <t>#G1066</t>
  </si>
  <si>
    <t>Hackschnitzelkessel &lt; 20 kw</t>
  </si>
  <si>
    <t xml:space="preserve">Storkerfyr &lt;20 kW </t>
  </si>
  <si>
    <t>#G0909</t>
  </si>
  <si>
    <t>Flüssiggastank 2700 l/1,2 t (oberirdisch)</t>
  </si>
  <si>
    <t xml:space="preserve">LPG tank 2700 l / t 1,2 (overjordiske) </t>
  </si>
  <si>
    <t>https://www.oekobaudat.de/OEKOBAU.DAT/resource/processes/2dce11cf-7975-4215-8d0c-2d7760595853?version=20.23.050</t>
  </si>
  <si>
    <t>#G0151</t>
  </si>
  <si>
    <t>Lüfter zentral 10000 m3/h</t>
  </si>
  <si>
    <t xml:space="preserve">Boksventilator 10.000 m3/h </t>
  </si>
  <si>
    <t>https://www.oekobaudat.de/OEKOBAU.DAT/resource/processes/76ac97e0-8016-44f0-b74b-4ba6ea69f00b?version=20.23.050</t>
  </si>
  <si>
    <t>#G0666</t>
  </si>
  <si>
    <t>Flüssiggastank 2700 l/1,2 t (unterirdisch)</t>
  </si>
  <si>
    <t xml:space="preserve">LPG tank 2700 l / 1,2 t (underjordisk) </t>
  </si>
  <si>
    <t>https://www.oekobaudat.de/OEKOBAU.DAT/resource/processes/2424aa0d-0a25-447e-9d2b-a9903a9956fa?version=20.23.050</t>
  </si>
  <si>
    <t>#G0796</t>
  </si>
  <si>
    <t>Pelletkessel 20-120 kw</t>
  </si>
  <si>
    <t xml:space="preserve">Pillefyr, 20-120 kW </t>
  </si>
  <si>
    <t>#G0187</t>
  </si>
  <si>
    <t>Hackschnitzelkessel 20 - 120 kw</t>
  </si>
  <si>
    <t xml:space="preserve">Storkerfyr20-120 kW </t>
  </si>
  <si>
    <t>#G0134</t>
  </si>
  <si>
    <t>Strom-wärmepumpe (luft-wasser) 7 kw</t>
  </si>
  <si>
    <t xml:space="preserve">Varmepumpe (luft-vand) 7kW </t>
  </si>
  <si>
    <t>https://www.oekobaudat.de/OEKOBAU.DAT/resource/processes/d59feef8-7a26-499b-a9d8-7149b5d3de24?version=20.23.050</t>
  </si>
  <si>
    <t>#G0257</t>
  </si>
  <si>
    <t>Gas-niedertemperaturgerät 120-400 kw (standgerät)</t>
  </si>
  <si>
    <t xml:space="preserve">Gaskedel, kondenserende, 120-400 kW </t>
  </si>
  <si>
    <t>https://www.oekobaudat.de/OEKOBAU.DAT/resource/processes/f9043619-1d1a-4af1-a42d-8bff43c7cd9c?version=20.23.050</t>
  </si>
  <si>
    <t>#G0873</t>
  </si>
  <si>
    <t>Gas-brennwertgerät 120-400 kw (standgerät)</t>
  </si>
  <si>
    <t xml:space="preserve">Kondenserende gaskedel 120-400 kW (standalone enhed) </t>
  </si>
  <si>
    <t>https://www.oekobaudat.de/OEKOBAU.DAT/resource/processes/2099e104-ce43-4c05-a923-a7a8b044dd6f?version=20.23.050</t>
  </si>
  <si>
    <t>#G0396</t>
  </si>
  <si>
    <t>Rohre für strom-wärmepumpe (sole-wasser, erdkollektor) 70 kw</t>
  </si>
  <si>
    <t>Rør til el-varmepumpe (lodret jordvarme, saltvand), collector, 70 kW</t>
  </si>
  <si>
    <t>https://www.oekobaudat.de/OEKOBAU.DAT/resource/processes/4c1af887-edea-4350-8d75-e54e8b5ca7dc?version=20.23.050</t>
  </si>
  <si>
    <t>#G0771</t>
  </si>
  <si>
    <t>Öl-niedertemperaturgerät 120-400 kw (standgerät)</t>
  </si>
  <si>
    <t xml:space="preserve">Oliekedel, lav temperatur, kondenserende, 120-400 kW </t>
  </si>
  <si>
    <t>https://www.oekobaudat.de/OEKOBAU.DAT/resource/processes/ae703d16-5aef-48a2-910d-c1004677b665?version=20.23.050</t>
  </si>
  <si>
    <t xml:space="preserve">Oliekedel, lav temperatur, 120-400 kW </t>
  </si>
  <si>
    <t>#G0452</t>
  </si>
  <si>
    <t>Aluminiumblech</t>
  </si>
  <si>
    <t xml:space="preserve">Aluminiumsplade </t>
  </si>
  <si>
    <t>https://www.oekobaudat.de/OEKOBAU.DAT/resource/processes/f0f13788-bc1b-44d4-9f37-082a6d22b432?version=20.23.050</t>
  </si>
  <si>
    <t>#G0484</t>
  </si>
  <si>
    <t>Ammoniak (r717)</t>
  </si>
  <si>
    <t xml:space="preserve">Ammoniak (R717) </t>
  </si>
  <si>
    <t>https://www.oekobaudat.de/OEKOBAU.DAT/resource/processes/2b3bf368-34e6-4e7c-917e-6f455d4c4bb8?version=20.23.050</t>
  </si>
  <si>
    <t>#G0522</t>
  </si>
  <si>
    <t>Bims schotter</t>
  </si>
  <si>
    <t xml:space="preserve">Pimpsten, grus </t>
  </si>
  <si>
    <t>https://www.oekobaudat.de/OEKOBAU.DAT/resource/processes/6d3a545c-07b1-4d65-8fa9-2574dca3f8d9?version=20.23.050</t>
  </si>
  <si>
    <t>#G0956</t>
  </si>
  <si>
    <t>Gussteile aus aluminium</t>
  </si>
  <si>
    <t xml:space="preserve">Aluminium, støbegods </t>
  </si>
  <si>
    <t>https://www.oekobaudat.de/OEKOBAU.DAT/resource/processes/568f2c96-2d04-43ff-bf03-8e48de9f11ff?version=20.23.050</t>
  </si>
  <si>
    <t>#G1302</t>
  </si>
  <si>
    <t xml:space="preserve">Silikatmaling (udendørs) </t>
  </si>
  <si>
    <t>#G0333</t>
  </si>
  <si>
    <t>Aluminium Profil</t>
  </si>
  <si>
    <t xml:space="preserve">Aluminiumsprofil </t>
  </si>
  <si>
    <t>https://www.oekobaudat.de/OEKOBAU.DAT/resource/processes/fdc99ab8-d843-44ec-a66c-92367d244321?version=20.23.050</t>
  </si>
  <si>
    <t>#G0470</t>
  </si>
  <si>
    <t>Abwasserrohr abs</t>
  </si>
  <si>
    <t xml:space="preserve">Rør, Afløbsrør, ABS </t>
  </si>
  <si>
    <t>https://www.oekobaudat.de/OEKOBAU.DAT/resource/processes/9099dfdd-22a6-4dee-9b60-0e90701e9d99?version=20.23.050</t>
  </si>
  <si>
    <t>#G1174</t>
  </si>
  <si>
    <t>Korkplatten 1m2, 4 mm (generisch)</t>
  </si>
  <si>
    <t xml:space="preserve">Korkfliser 4 mm </t>
  </si>
  <si>
    <t>https://www.oekobaudat.de/OEKOBAU.DAT/resource/processes/2d82e639-2be1-4861-92f8-944623ee385e?version=20.23.050</t>
  </si>
  <si>
    <t>#G1134</t>
  </si>
  <si>
    <t>Stabparkett (generisch)</t>
  </si>
  <si>
    <t xml:space="preserve">Trægulv, stavparket, 22 mm </t>
  </si>
  <si>
    <t>https://www.oekobaudat.de/OEKOBAU.DAT/resource/processes/96a73457-ae7d-49ff-906a-d10e6b11d82c?version=20.23.050</t>
  </si>
  <si>
    <t>#G1094</t>
  </si>
  <si>
    <t>Mineralfaser deckenplatten (15 mm)</t>
  </si>
  <si>
    <t xml:space="preserve">Loftspanel med mineraluld </t>
  </si>
  <si>
    <t>https://www.oekobaudat.de/OEKOBAU.DAT/resource/processes/3175cb36-065b-4bc7-9c7e-dd256bba5e8f?version=20.23.050</t>
  </si>
  <si>
    <t>#G1169</t>
  </si>
  <si>
    <t>Korkplatten 1m2, 6 mm (generisch)</t>
  </si>
  <si>
    <t xml:space="preserve">Korkfliser 6 mm </t>
  </si>
  <si>
    <t>https://www.oekobaudat.de/OEKOBAU.DAT/resource/processes/4116031f-9ee7-4ac0-93e7-972c4b2de8a0?version=20.23.050</t>
  </si>
  <si>
    <t>#G1091</t>
  </si>
  <si>
    <t xml:space="preserve">Kork linoleumsgulv (tykkelse 0,0025 m) </t>
  </si>
  <si>
    <t>#G1160</t>
  </si>
  <si>
    <t>Korkplatten 1 m², 8 mm (generisch)</t>
  </si>
  <si>
    <t xml:space="preserve">Korkfliser 8 mm </t>
  </si>
  <si>
    <t>https://www.oekobaudat.de/OEKOBAU.DAT/resource/processes/717cc09a-e2c5-48fb-913e-24b54fc5e851?version=20.23.050</t>
  </si>
  <si>
    <t>#G1128</t>
  </si>
  <si>
    <t>Schieferplatten</t>
  </si>
  <si>
    <t xml:space="preserve">Skifer </t>
  </si>
  <si>
    <t>https://www.oekobaudat.de/OEKOBAU.DAT/resource/processes/8847396e-ce82-433d-9f65-8bc144a2a7a4?version=20.23.050</t>
  </si>
  <si>
    <t>#G0355</t>
  </si>
  <si>
    <t>Gipsputz (innen)</t>
  </si>
  <si>
    <t xml:space="preserve">Puds, gips-kalk </t>
  </si>
  <si>
    <t>https://www.oekobaudat.de/OEKOBAU.DAT/resource/processes/f8e81ff6-1886-482e-9a78-7b1246a8c8f9?version=20.23.050</t>
  </si>
  <si>
    <t>#S0001</t>
  </si>
  <si>
    <t>Standardværdi</t>
  </si>
  <si>
    <t>Enfamiliehuse, afløb</t>
  </si>
  <si>
    <t>https://vbn.aau.dk/da/publications/klimap%C3%A5virkning-fra-nybyggeri-analytisk-grundlag-til-fastl%C3%A6ggelse?</t>
  </si>
  <si>
    <t>#S0002</t>
  </si>
  <si>
    <t>Enfamiliehuse, vand</t>
  </si>
  <si>
    <t>#S0003</t>
  </si>
  <si>
    <t>Enfamiliehuse, varme, ventilation og køl</t>
  </si>
  <si>
    <t>#S0004</t>
  </si>
  <si>
    <t>Rækkehuse, afløb</t>
  </si>
  <si>
    <t>#S0005</t>
  </si>
  <si>
    <t>Rækkehuse, vand</t>
  </si>
  <si>
    <t>#S0006</t>
  </si>
  <si>
    <t>Rækkehuse, varme, ventilation og køl</t>
  </si>
  <si>
    <t>#S0007</t>
  </si>
  <si>
    <t>Etageboliger, afløb</t>
  </si>
  <si>
    <t>#S0008</t>
  </si>
  <si>
    <t>Etageboliger, vand</t>
  </si>
  <si>
    <t>#S0009</t>
  </si>
  <si>
    <t>Etageboliger,varme, ventilation og køl</t>
  </si>
  <si>
    <t>#S0010</t>
  </si>
  <si>
    <t>Kontor, skoler og daginstitutioner, afløb</t>
  </si>
  <si>
    <t>#S0011</t>
  </si>
  <si>
    <t>Kontor, skoler og daginstitutioner, vand</t>
  </si>
  <si>
    <t>#S0012</t>
  </si>
  <si>
    <t>Kontor, skoler og daginstitutioner, varme, ventilation og køl</t>
  </si>
  <si>
    <t>#S0013</t>
  </si>
  <si>
    <t>Øvrige bygninger, afløb</t>
  </si>
  <si>
    <t>#S0014</t>
  </si>
  <si>
    <t>Øvrige bygninger, vand</t>
  </si>
  <si>
    <t>#S0015</t>
  </si>
  <si>
    <t>Øvrige bygninger, varme, ventilation og køl</t>
  </si>
  <si>
    <t>https://www.oekobaudat.de/OEKOBAU.DAT/resource/processes/f830ac7f-04a0-46e0-a5ed-1b66a09555f5?version=20.23.050</t>
  </si>
  <si>
    <t>https://www.oekobaudat.de/OEKOBAU.DAT/resource/processes/6d6d0d3f-79a3-461b-8a8c-fa4a78875da0?version=20.23.050</t>
  </si>
  <si>
    <t>https://www.oekobaudat.de/OEKOBAU.DAT/resource/processes/8f060568-aca6-4375-86f4-340b806962c4?version=20.23.050</t>
  </si>
  <si>
    <t>https://www.oekobaudat.de/OEKOBAU.DAT/resource/processes/2f04b410-9ca3-4984-a9f2-8475a6e9b5c1?version=20.23.050</t>
  </si>
  <si>
    <t>https://www.oekobaudat.de/OEKOBAU.DAT/resource/processes/02beebbe-d658-461d-9f3f-a80cc3c92a83?version=20.23.050</t>
  </si>
  <si>
    <t>https://www.oekobaudat.de/OEKOBAU.DAT/resource/processes/3d5b565c-187b-4413-ab45-3eaa89ede35d?version=20.23.050</t>
  </si>
  <si>
    <t>https://www.oekobaudat.de/OEKOBAU.DAT/resource/processes/24d554b6-a720-45a3-b80d-17a46e612f26?version=20.23.050</t>
  </si>
  <si>
    <t>https://www.oekobaudat.de/OEKOBAU.DAT/resource/processes/43312667-1727-4f43-b8ad-fe82268b7691?version=20.23.050</t>
  </si>
  <si>
    <t>https://www.oekobaudat.de/OEKOBAU.DAT/resource/processes/302acb89-846f-400c-ba6e-84640d360c1d?version=20.23.050</t>
  </si>
  <si>
    <t>https://www.oekobaudat.de/OEKOBAU.DAT/resource/processes/85fc79d8-ba39-4236-993e-eeb928d9ae6f?version=20.23.050</t>
  </si>
  <si>
    <t>https://www.oekobaudat.de/OEKOBAU.DAT/resource/processes/6af11f95-8ce6-4226-876b-7e14d486e5ec?version=20.23.050</t>
  </si>
  <si>
    <t>https://www.oekobaudat.de/OEKOBAU.DAT/resource/processes/6a3a34ff-d40c-474b-9039-4f8db6e7c732?version=20.23.050</t>
  </si>
  <si>
    <t>https://www.oekobaudat.de/OEKOBAU.DAT/resource/processes/49a70830-f0ff-4e1b-a0b7-4f4da313fa28?version=20.23.050</t>
  </si>
  <si>
    <t>https://www.oekobaudat.de/OEKOBAU.DAT/resource/processes/becd932f-899e-4b1b-962c-64ea26c51be0?version=20.23.050</t>
  </si>
  <si>
    <t>https://www.oekobaudat.de/OEKOBAU.DAT/resource/processes/702a41a1-d009-4c7b-9f4f-cd999f9da7de?version=20.23.050</t>
  </si>
  <si>
    <t>https://www.oekobaudat.de/OEKOBAU.DAT/resource/processes/8c53cf57-5414-449f-9a1e-c0041657fd50?version=20.23.050</t>
  </si>
  <si>
    <t>https://www.oekobaudat.de/OEKOBAU.DAT/resource/processes/649fd5c6-2c2d-47d9-9a1a-a567673c9fd0?version=20.23.050</t>
  </si>
  <si>
    <t>https://www.oekobaudat.de/OEKOBAU.DAT/resource/processes/2d81c58c-1cd9-40be-b7d2-96d7de6b9296?version=20.23.050</t>
  </si>
  <si>
    <t>https://www.oekobaudat.de/OEKOBAU.DAT/resource/processes/f34786e7-0953-4085-9f3d-955481cdd4ea?version=20.23.050</t>
  </si>
  <si>
    <t>https://www.oekobaudat.de/OEKOBAU.DAT/resource/processes/b923c64c-2da3-4f0c-ada3-5d1eeb884880?version=20.23.050</t>
  </si>
  <si>
    <t>https://www.oekobaudat.de/OEKOBAU.DAT/resource/processes/5a4cd709-d5a4-40ba-9557-d7a546bb4ce0?version=20.23.050</t>
  </si>
  <si>
    <t>https://www.oekobaudat.de/OEKOBAU.DAT/resource/processes/56674647-992d-4d42-8955-fb3617c1404e?version=20.23.050</t>
  </si>
  <si>
    <t>https://www.oekobaudat.de/OEKOBAU.DAT/resource/processes/3f617412-e411-4b33-b81f-27e1ec0a6545?version=20.23.050</t>
  </si>
  <si>
    <t>https://www.oekobaudat.de/OEKOBAU.DAT/resource/processes/3cf1e41b-66b6-4475-b69c-8866e267a02f?version=20.23.050</t>
  </si>
  <si>
    <t>https://www.oekobaudat.de/OEKOBAU.DAT/resource/processes/93f371be-ae3e-4baf-b607-5e2563a9288f?version=20.23.050</t>
  </si>
  <si>
    <t>https://www.oekobaudat.de/OEKOBAU.DAT/resource/processes/2d7f6993-c585-4674-b030-348434efeaca?version=20.23.050</t>
  </si>
  <si>
    <t>https://www.oekobaudat.de/OEKOBAU.DAT/resource/processes/16e0f5b5-8090-4466-b303-7b8ae71110d8?version=20.23.050</t>
  </si>
  <si>
    <t>https://www.oekobaudat.de/OEKOBAU.DAT/resource/processes/467aee4d-03e3-4bf5-a916-8d279d5a5f29?version=20.23.050</t>
  </si>
  <si>
    <t>https://www.oekobaudat.de/OEKOBAU.DAT/resource/processes/5cddd8d6-f777-4c55-99c4-7f8cb9f23a75?version=20.23.050</t>
  </si>
  <si>
    <t>https://www.oekobaudat.de/OEKOBAU.DAT/resource/processes/e9cee0e5-e898-45dc-8431-a3ce91acb787?version=20.23.050</t>
  </si>
  <si>
    <t>https://www.oekobaudat.de/OEKOBAU.DAT/resource/processes/514b2993-2942-44b1-a4a5-a1b209f14d2a?version=20.23.050</t>
  </si>
  <si>
    <t>https://www.oekobaudat.de/OEKOBAU.DAT/resource/processes/8e1613f4-ef3e-4f4e-b337-c755c08cad6b?version=20.23.050</t>
  </si>
  <si>
    <t>https://www.oekobaudat.de/OEKOBAU.DAT/resource/processes/a7829637-2436-489c-9e94-6642817e1926?version=20.23.050</t>
  </si>
  <si>
    <t>https://www.oekobaudat.de/OEKOBAU.DAT/resource/processes/dc48d28c-1d88-4d35-bf71-1249cddd6740?version=20.23.050</t>
  </si>
  <si>
    <t>https://www.oekobaudat.de/OEKOBAU.DAT/resource/processes/656568b3-6a42-4a6e-917d-4ddcc3dca17b?version=20.23.050</t>
  </si>
  <si>
    <t>https://www.oekobaudat.de/OEKOBAU.DAT/resource/processes/9e9a625d-28eb-4dbd-8278-6da8088ab8a1?version=20.23.050</t>
  </si>
  <si>
    <t>https://www.oekobaudat.de/OEKOBAU.DAT/resource/processes/05655326-c0c0-4225-8ca4-987f112fc2ce?version=20.23.050</t>
  </si>
  <si>
    <t>https://www.oekobaudat.de/OEKOBAU.DAT/resource/processes/d6dc8844-4d8a-4abe-8ce9-db39c965f5bf?version=20.23.050</t>
  </si>
  <si>
    <t>https://www.oekobaudat.de/OEKOBAU.DAT/resource/processes/f7ad2652-d3a4-4d01-8f54-e668d1257ed1?version=20.23.050</t>
  </si>
  <si>
    <t>https://www.oekobaudat.de/OEKOBAU.DAT/resource/processes/2014a394-f4e5-47dd-9e8a-ee2628bd73f3?version=20.23.050</t>
  </si>
  <si>
    <t>https://www.oekobaudat.de/OEKOBAU.DAT/resource/processes/5030f4d2-b8ae-4a72-9c76-e21b0a7d9089?version=20.23.050</t>
  </si>
  <si>
    <t>https://www.oekobaudat.de/OEKOBAU.DAT/resource/processes/6899ae8e-86d3-42d0-a1ba-efe711b3aef2?version=20.23.050</t>
  </si>
  <si>
    <t>https://www.oekobaudat.de/OEKOBAU.DAT/resource/processes/2be89e89-3c8e-46cf-9315-2faeecec2ad0?version=20.23.050</t>
  </si>
  <si>
    <t>https://www.oekobaudat.de/OEKOBAU.DAT/resource/processes/3e5bc771-47de-4d5f-b01c-d64eec397dce?version=20.23.050</t>
  </si>
  <si>
    <t>https://www.oekobaudat.de/OEKOBAU.DAT/resource/processes/2662edec-0657-4889-bf64-4e811ac8e652?version=20.23.050</t>
  </si>
  <si>
    <t>https://www.oekobaudat.de/OEKOBAU.DAT/resource/processes/f2e87b9c-45a7-4b6c-bd81-1abb81e061e1?version=20.23.050</t>
  </si>
  <si>
    <t>https://www.oekobaudat.de/OEKOBAU.DAT/resource/processes/570bfed7-c3e0-4dd0-acd1-c23d32070edb?version=20.23.050</t>
  </si>
  <si>
    <t>https://www.oekobaudat.de/OEKOBAU.DAT/resource/processes/40ef1e7b-920d-4fe4-a8ec-3a540ef93c65?version=20.23.050</t>
  </si>
  <si>
    <t>https://www.oekobaudat.de/OEKOBAU.DAT/resource/processes/d2ca1ae9-8d5e-480e-bd57-70c73dd1da50?version=20.23.050</t>
  </si>
  <si>
    <t>https://www.oekobaudat.de/OEKOBAU.DAT/resource/processes/d03450fd-9438-43f7-9ee8-45faa63b1333?version=20.23.050</t>
  </si>
  <si>
    <t>https://www.oekobaudat.de/OEKOBAU.DAT/resource/processes/e6a19775-cdd4-40a5-a3bc-8d567c1cd4cc?version=20.23.050</t>
  </si>
  <si>
    <t>https://www.oekobaudat.de/OEKOBAU.DAT/resource/processes/97baa88a-6528-41c3-8943-1ee8094645f5?version=20.23.050</t>
  </si>
  <si>
    <t>https://www.oekobaudat.de/OEKOBAU.DAT/resource/processes/eeda9e75-727c-474d-8c54-3982cafe07d7?version=20.23.050</t>
  </si>
  <si>
    <t>https://www.oekobaudat.de/OEKOBAU.DAT/resource/processes/5a9bb863-f67d-4b2c-b34f-3eb8ed1c8b42?version=20.23.050</t>
  </si>
  <si>
    <t>https://www.oekobaudat.de/OEKOBAU.DAT/resource/processes/07d95427-572c-413c-ab1a-ef5e991c69ef?version=20.23.050</t>
  </si>
  <si>
    <t>https://www.oekobaudat.de/OEKOBAU.DAT/resource/processes/050c82cc-9f07-48c2-a365-c41b1fa4fb1e?version=20.23.050</t>
  </si>
  <si>
    <t>https://www.oekobaudat.de/OEKOBAU.DAT/resource/processes/eee26d67-c05d-4c1c-8502-0e42c91f37fc?version=20.23.050</t>
  </si>
  <si>
    <t>https://www.oekobaudat.de/OEKOBAU.DAT/resource/processes/d62953d2-61e8-427b-ada2-8a3c4e9756c1?version=20.23.050</t>
  </si>
  <si>
    <t>https://www.oekobaudat.de/OEKOBAU.DAT/resource/processes/6e54b3c4-5399-4579-bb31-397cc271e341?version=20.23.050</t>
  </si>
  <si>
    <t>https://www.oekobaudat.de/OEKOBAU.DAT/resource/processes/cc54d8cb-f26c-41ea-a152-8b28f7fb5b1d?version=20.23.050</t>
  </si>
  <si>
    <t>https://www.oekobaudat.de/OEKOBAU.DAT/resource/processes/3d1b480d-243f-4ff2-aa16-428e1a93f5d8?version=20.23.050</t>
  </si>
  <si>
    <t>https://www.oekobaudat.de/OEKOBAU.DAT/resource/processes/fa802cb7-a64d-48b3-b928-0f9976420d37?version=20.23.050</t>
  </si>
  <si>
    <t>https://www.oekobaudat.de/OEKOBAU.DAT/resource/processes/0ff1831a-bca2-44d0-a277-e416eb8a9b5a?version=20.23.050</t>
  </si>
  <si>
    <t>https://www.oekobaudat.de/OEKOBAU.DAT/resource/processes/8125026b-602d-47d5-9087-7470c457d10a?version=20.23.050</t>
  </si>
  <si>
    <t>https://www.oekobaudat.de/OEKOBAU.DAT/resource/processes/57a01f9b-798f-4a5d-b476-bd20c7bd25bd?version=20.23.050</t>
  </si>
  <si>
    <t>https://www.oekobaudat.de/OEKOBAU.DAT/resource/processes/c9d466d3-d5cb-4be6-9ae3-609212c4438a?version=20.23.050</t>
  </si>
  <si>
    <t>https://www.oekobaudat.de/OEKOBAU.DAT/resource/processes/fc1c6f12-1e04-4c51-9836-81a4d7743528?version=20.23.050</t>
  </si>
  <si>
    <t>https://www.oekobaudat.de/OEKOBAU.DAT/resource/processes/f877e931-42b3-4675-a6ea-82ad950eb831?version=20.23.050</t>
  </si>
  <si>
    <t>https://www.oekobaudat.de/OEKOBAU.DAT/resource/processes/fd7496b3-e4d0-45f6-838b-4db5bc3a66e8?version=20.23.050</t>
  </si>
  <si>
    <t>https://www.oekobaudat.de/OEKOBAU.DAT/resource/processes/d47c49c6-fb84-4b33-9710-bb442180823b?version=20.23.050</t>
  </si>
  <si>
    <t>https://www.oekobaudat.de/OEKOBAU.DAT/resource/processes/6d5a2172-9fb7-4dc6-914a-5cd09d6afdbd?version=20.23.050</t>
  </si>
  <si>
    <t>https://www.oekobaudat.de/OEKOBAU.DAT/resource/processes/5747cdb6-fb7d-4fbf-b7ee-38647ee470c7?version=20.23.050</t>
  </si>
  <si>
    <t>https://www.oekobaudat.de/OEKOBAU.DAT/resource/processes/4e679d88-9a0f-4ada-9210-5a6e1e020771?version=20.23.050</t>
  </si>
  <si>
    <t>https://www.oekobaudat.de/OEKOBAU.DAT/resource/processes/f421344b-6738-4e4a-82f3-10415fa9fc54?version=20.23.050</t>
  </si>
  <si>
    <t>https://www.oekobaudat.de/OEKOBAU.DAT/resource/processes/658b2d08-fd24-4d43-a469-203d594b2278?version=20.23.050</t>
  </si>
  <si>
    <t>https://www.oekobaudat.de/OEKOBAU.DAT/resource/processes/1bf43844-2f42-499e-a177-e65d98cbbf68?version=20.23.050</t>
  </si>
  <si>
    <t>https://www.oekobaudat.de/OEKOBAU.DAT/resource/processes/539f5cd0-4e0a-4aae-87eb-e018dbebea4d?version=20.23.050</t>
  </si>
  <si>
    <t>https://www.oekobaudat.de/OEKOBAU.DAT/resource/processes/2dc5d1cf-ffce-42c2-a127-f412f3ef5fe2?version=20.23.050</t>
  </si>
  <si>
    <t>https://www.oekobaudat.de/OEKOBAU.DAT/resource/processes/f0b03a7a-06f1-45c9-9597-e6c60907f3e0?version=20.23.050</t>
  </si>
  <si>
    <t>https://www.oekobaudat.de/OEKOBAU.DAT/resource/processes/7d0b5f1b-9490-4eda-af7e-5f1a01cbd149?version=20.23.050</t>
  </si>
  <si>
    <t>https://www.oekobaudat.de/OEKOBAU.DAT/resource/processes/ffd4bc0e-1d99-4e84-8710-6dcbf34a98a6?version=20.23.050</t>
  </si>
  <si>
    <t>https://www.oekobaudat.de/OEKOBAU.DAT/resource/processes/de4d3046-fd0c-479f-a1a6-ae13a9092fc7?version=20.23.050</t>
  </si>
  <si>
    <t>https://www.oekobaudat.de/OEKOBAU.DAT/resource/processes/d69d0bdd-c003-4038-b9b1-79bceda2e956?version=20.23.050</t>
  </si>
  <si>
    <t>https://www.oekobaudat.de/OEKOBAU.DAT/resource/processes/1121bd10-6918-441c-b18b-8264a277c919?version=20.23.050</t>
  </si>
  <si>
    <t>https://www.oekobaudat.de/OEKOBAU.DAT/resource/processes/03f8e9cd-16ee-4ece-93bc-b68441d34afe?version=20.23.050</t>
  </si>
  <si>
    <t>https://www.oekobaudat.de/OEKOBAU.DAT/resource/processes/d6eec5bf-7727-46ab-b1de-62ac94b90016?version=20.23.050</t>
  </si>
  <si>
    <t>https://www.oekobaudat.de/OEKOBAU.DAT/resource/processes/49ff9df1-d12d-48f6-a391-0d72d695ffcf?version=20.23.050</t>
  </si>
  <si>
    <t>https://www.oekobaudat.de/OEKOBAU.DAT/resource/processes/1d5bba40-a703-4d90-83fd-15593f5936b4?version=20.23.050</t>
  </si>
  <si>
    <t>https://www.oekobaudat.de/OEKOBAU.DAT/resource/processes/af88e99e-5662-41cf-bf12-d963cd8d0c4e?version=20.23.050</t>
  </si>
  <si>
    <t>https://www.oekobaudat.de/OEKOBAU.DAT/resource/processes/3511337e-eca7-487b-b185-a819a4b238ed?version=20.23.050</t>
  </si>
  <si>
    <t>https://www.oekobaudat.de/OEKOBAU.DAT/resource/processes/e80981a3-c7c4-4267-b669-0f31cfa61f06?version=20.23.050</t>
  </si>
  <si>
    <t>https://www.oekobaudat.de/OEKOBAU.DAT/resource/processes/2173d540-fc7c-4b77-af4f-9a53cdbfb834?version=20.23.050</t>
  </si>
  <si>
    <t>https://www.oekobaudat.de/OEKOBAU.DAT/resource/processes/3598f7e3-1be1-4a05-9d2e-f41ad4623ced?version=20.23.050</t>
  </si>
  <si>
    <t>https://www.oekobaudat.de/OEKOBAU.DAT/resource/processes/aeb54e7e-6950-41c5-a10e-0ba3b38ea774?version=20.23.050</t>
  </si>
  <si>
    <t>https://www.oekobaudat.de/OEKOBAU.DAT/resource/processes/6e95743d-cdf3-4646-a6ea-f9b2bb752821?version=20.23.050</t>
  </si>
  <si>
    <t>https://www.oekobaudat.de/OEKOBAU.DAT/resource/processes/2d42602d-9913-43ed-8703-d953f7854bca?version=20.23.050</t>
  </si>
  <si>
    <t>https://www.oekobaudat.de/OEKOBAU.DAT/resource/processes/46a05844-3fbf-47ef-889a-e7f1a4b4f825?version=20.23.050</t>
  </si>
  <si>
    <t>https://www.oekobaudat.de/OEKOBAU.DAT/resource/processes/f873f2a7-560a-410c-97e7-dfe121134b26?version=20.23.050</t>
  </si>
  <si>
    <t>https://www.oekobaudat.de/OEKOBAU.DAT/resource/processes/ad5f4666-dffa-45d4-abe4-fb5ab74d63e1?version=20.23.050</t>
  </si>
  <si>
    <t>https://www.oekobaudat.de/OEKOBAU.DAT/resource/processes/60203e0a-cd90-4ff9-8ec7-da3a1b0b1588?version=20.23.050</t>
  </si>
  <si>
    <t>https://www.oekobaudat.de/OEKOBAU.DAT/resource/processes/ec2ec7ad-8fe1-45c0-b767-8e6b6467ea3d?version=20.23.050</t>
  </si>
  <si>
    <t>https://www.oekobaudat.de/OEKOBAU.DAT/resource/processes/3830f872-628b-4e3f-8370-b7c6efcfcc70?version=20.23.050</t>
  </si>
  <si>
    <t>https://www.oekobaudat.de/OEKOBAU.DAT/resource/processes/c58cb849-f05f-4edf-af22-8f87c1f84975?version=20.23.050</t>
  </si>
  <si>
    <t>https://www.oekobaudat.de/OEKOBAU.DAT/resource/processes/3da2134f-da14-40fe-9861-84d4ccee9fef?version=20.23.050</t>
  </si>
  <si>
    <t>https://www.oekobaudat.de/OEKOBAU.DAT/resource/processes/8dec64ad-430f-4c96-bae1-e46814af2b70?version=20.23.050</t>
  </si>
  <si>
    <t>https://www.oekobaudat.de/OEKOBAU.DAT/resource/processes/9812f03c-2a15-40bf-9c10-05f6924a420f?version=20.23.050</t>
  </si>
  <si>
    <t>https://www.oekobaudat.de/OEKOBAU.DAT/resource/processes/11440edc-cfba-40af-bd2d-0db71afe444b?version=20.23.050</t>
  </si>
  <si>
    <t>https://www.oekobaudat.de/OEKOBAU.DAT/resource/processes/986d66de-db26-4512-a113-6e9486324d20?version=20.23.050</t>
  </si>
  <si>
    <t>https://www.oekobaudat.de/OEKOBAU.DAT/resource/processes/73f1bfa7-c79e-4129-bf1a-eee28cc3c85f?version=20.23.050</t>
  </si>
  <si>
    <t>https://www.oekobaudat.de/OEKOBAU.DAT/resource/processes/eda737e1-1012-4324-aff5-d070800468ab?version=20.23.050</t>
  </si>
  <si>
    <t>https://www.oekobaudat.de/OEKOBAU.DAT/resource/processes/f25983c6-104a-4d19-8d2a-c0dccafa2f3b?version=20.23.050</t>
  </si>
  <si>
    <t>https://www.oekobaudat.de/OEKOBAU.DAT/resource/processes/690ebc5b-80ad-47c3-8d26-8db3504c7d81?version=20.23.050</t>
  </si>
  <si>
    <t>https://www.oekobaudat.de/OEKOBAU.DAT/resource/processes/4a2a46c8-b646-4cf5-b2d7-72c2c1a27fae?version=20.23.050</t>
  </si>
  <si>
    <t>https://www.oekobaudat.de/OEKOBAU.DAT/resource/processes/b2afc2f7-d973-442f-bda4-5d37a047534f?version=20.23.050</t>
  </si>
  <si>
    <t>https://www.oekobaudat.de/OEKOBAU.DAT/resource/processes/8a29439a-9d91-44e7-b157-1432b44937f9?version=20.23.050</t>
  </si>
  <si>
    <t>https://www.oekobaudat.de/OEKOBAU.DAT/resource/processes/5dddc87c-6b72-4801-b822-4301138c99ce?version=20.23.050</t>
  </si>
  <si>
    <t>https://www.oekobaudat.de/OEKOBAU.DAT/resource/processes/47583aa9-56d9-4b39-8cc3-e3513210dd17?version=20.23.050</t>
  </si>
  <si>
    <t>https://www.oekobaudat.de/OEKOBAU.DAT/resource/processes/3f9ebd47-f93e-4fee-859a-13700134ee3c?version=20.23.050</t>
  </si>
  <si>
    <t>https://www.oekobaudat.de/OEKOBAU.DAT/resource/processes/e76bbf03-1aa3-4ebd-90b9-8abfeabb9766?version=20.23.050</t>
  </si>
  <si>
    <t>https://www.oekobaudat.de/OEKOBAU.DAT/resource/processes/bf575960-32e9-47f6-833e-cba96c88dbd2?version=20.23.050</t>
  </si>
  <si>
    <t>https://www.oekobaudat.de/OEKOBAU.DAT/resource/processes/fb68a5d1-82eb-4e36-b5bd-8db0f3ee7a6d?version=20.23.050</t>
  </si>
  <si>
    <t>https://www.oekobaudat.de/OEKOBAU.DAT/resource/processes/1edb805d-08dc-461e-8195-05a9865470d0?version=20.23.050</t>
  </si>
  <si>
    <t>https://www.oekobaudat.de/OEKOBAU.DAT/resource/processes/6505a4d0-df9a-4f7f-8a10-fa4ef36629ad?version=20.23.050</t>
  </si>
  <si>
    <t>https://www.oekobaudat.de/OEKOBAU.DAT/resource/processes/907545ae-8eac-47a7-9b1b-47a474a16749?version=20.23.050</t>
  </si>
  <si>
    <t>https://www.oekobaudat.de/OEKOBAU.DAT/resource/processes/6931f21e-27bd-4eb4-b80a-f1eab2817ee0?version=20.23.050</t>
  </si>
  <si>
    <t>https://www.oekobaudat.de/OEKOBAU.DAT/resource/processes/3c6051d0-2062-4a92-9f4c-0d48c911978d?version=20.23.050</t>
  </si>
  <si>
    <t>https://www.oekobaudat.de/OEKOBAU.DAT/resource/processes/34aa0d55-ab02-41f0-84e1-f8a28cc6280e?version=20.23.050</t>
  </si>
  <si>
    <t>https://www.oekobaudat.de/OEKOBAU.DAT/resource/processes/fb2fb3cd-df97-4077-99fd-082117ba81f6?version=20.23.050</t>
  </si>
  <si>
    <t>https://www.oekobaudat.de/OEKOBAU.DAT/resource/processes/acf6b988-2458-4ddc-aef8-9a6cd3a78485?version=20.23.050</t>
  </si>
  <si>
    <t>https://www.oekobaudat.de/OEKOBAU.DAT/resource/processes/c1d62b9b-d4bb-4220-b5b5-d078d527f457?version=20.23.050</t>
  </si>
  <si>
    <t>https://www.oekobaudat.de/OEKOBAU.DAT/resource/processes/4906fae7-6013-4d08-a765-642314c0bfd2?version=20.23.050</t>
  </si>
  <si>
    <t>https://www.oekobaudat.de/OEKOBAU.DAT/resource/processes/8aa75389-7865-41ad-9763-6252c5ab1fe5?version=20.23.050</t>
  </si>
  <si>
    <t>https://www.oekobaudat.de/OEKOBAU.DAT/resource/processes/9eae2fed-dba0-4641-b1cc-fd2cc65f2016?version=20.23.050</t>
  </si>
  <si>
    <t>https://www.oekobaudat.de/OEKOBAU.DAT/resource/processes/e0fdab1d-684b-44a5-8453-ef0f887addab?version=20.23.050</t>
  </si>
  <si>
    <t>https://www.oekobaudat.de/OEKOBAU.DAT/resource/processes/96fd0760-5c7a-4ab6-a29a-050b68fc9c69?version=20.23.050</t>
  </si>
  <si>
    <t>https://www.oekobaudat.de/OEKOBAU.DAT/resource/processes/2632f4e8-7671-4d87-a8bc-9defdb54d117?version=20.23.050</t>
  </si>
  <si>
    <t>https://www.oekobaudat.de/OEKOBAU.DAT/resource/processes/b6e9b76b-5be6-4b7b-be40-c32da896190f?version=20.23.050</t>
  </si>
  <si>
    <t>https://www.oekobaudat.de/OEKOBAU.DAT/resource/processes/bd992ce2-8dd4-4af5-bca1-72dcbf2b5506?version=20.23.050</t>
  </si>
  <si>
    <t>https://www.oekobaudat.de/OEKOBAU.DAT/resource/processes/b35b5d3f-ba8d-4dab-84c1-d32ca56f8e7d?version=20.23.050</t>
  </si>
  <si>
    <t>https://www.oekobaudat.de/OEKOBAU.DAT/resource/processes/cc68520e-a68c-4d9c-b343-38575a1ff57c?version=20.23.050</t>
  </si>
  <si>
    <t>https://www.oekobaudat.de/OEKOBAU.DAT/resource/processes/53498e40-4f1d-42cb-8b40-911229d5acef?version=20.23.050</t>
  </si>
  <si>
    <t>https://www.oekobaudat.de/OEKOBAU.DAT/resource/processes/3a5143bc-b790-4ee2-9952-2ec580023d43?version=20.23.050</t>
  </si>
  <si>
    <t>https://www.oekobaudat.de/OEKOBAU.DAT/resource/processes/ec371486-0d42-4381-a4bb-95596c31c202?version=20.23.050</t>
  </si>
  <si>
    <t>#G0015</t>
  </si>
  <si>
    <t>Nedzink naturel</t>
  </si>
  <si>
    <t xml:space="preserve">Zink, patineret </t>
  </si>
  <si>
    <t>http://www.oekobaudat.de/OEKOBAU.DAT/resource/processes/43eaba9f-7c2a-4132-83af-054962477a58?version=00.01.000</t>
  </si>
  <si>
    <t>#D1632</t>
  </si>
  <si>
    <t>#D1633</t>
  </si>
  <si>
    <t>#D1634</t>
  </si>
  <si>
    <t>#D1635</t>
  </si>
  <si>
    <t>Rektangulære ventilationskanaler af galvaniseret stål</t>
  </si>
  <si>
    <t>Rectangular ventilation ducts</t>
  </si>
  <si>
    <t xml:space="preserve">Glastag, aluminium (komplet vindue med 2-lags rude) </t>
  </si>
  <si>
    <t xml:space="preserve">Celleglas-isolering 165 kg/m³ </t>
  </si>
  <si>
    <t>EPS isolering, hvid, 60 kPa</t>
  </si>
  <si>
    <t>EPS isolering, hvid, 80 kPa</t>
  </si>
  <si>
    <t>EPS isolering, hvid, over 80 kPa</t>
  </si>
  <si>
    <t>EPS isolering, grå, 30 kPa</t>
  </si>
  <si>
    <t>EPS isolering, grå, 60 kPa</t>
  </si>
  <si>
    <t>EPS isolering, grå, 80 kPa</t>
  </si>
  <si>
    <t>XPS isolering, 300 kPa</t>
  </si>
  <si>
    <t>Udarbejdet af SBST med konservativ faktor 1,1, uden konservativ faktor for modul D</t>
  </si>
  <si>
    <t xml:space="preserve">Asfalt </t>
  </si>
  <si>
    <t xml:space="preserve">Rulleskodder, PVC </t>
  </si>
  <si>
    <t>Masse enhed</t>
  </si>
  <si>
    <t>Trægulv, ubehandlet, 13 mm</t>
  </si>
  <si>
    <t>Trægulv, overfladebehandlet, 18 mm</t>
  </si>
  <si>
    <t>Danish name</t>
  </si>
  <si>
    <t>English name</t>
  </si>
  <si>
    <t>id</t>
  </si>
  <si>
    <t>unit</t>
  </si>
  <si>
    <t>Tabel 7 2025: Synthetic resin screed</t>
  </si>
  <si>
    <t>c1e386eb-042a-4b05-b29f-1f5587627613</t>
  </si>
  <si>
    <t>Tabel 7 2025: Air conditioning system (per 1 kW)</t>
  </si>
  <si>
    <t>1709dfe7-3f83-4105-a169-128b869fa84b</t>
  </si>
  <si>
    <t>8f5be1d1-95d9-4f8b-9fa3-9892b6166451</t>
  </si>
  <si>
    <t>a3daac12-50b5-433c-a210-109a3c3a1004</t>
  </si>
  <si>
    <t>4e4d085f-eab6-4836-a7cc-473fb3184f32</t>
  </si>
  <si>
    <t>634786fd-a36e-4ba6-8f6a-280ddee5d989</t>
  </si>
  <si>
    <t>a6527cf6-5b42-456b-a035-bddbea69c068</t>
  </si>
  <si>
    <t>078ba92b-1e88-4fce-987d-5875b22997fc</t>
  </si>
  <si>
    <t>7b7d9385-cb7c-4a14-81b1-e5a046b94be4</t>
  </si>
  <si>
    <t>56b26361-f5ab-4794-9e3b-0e273252c151</t>
  </si>
  <si>
    <t>Tabel 7 2025: Aluminium die-cast parts</t>
  </si>
  <si>
    <t>6c3eb5c1-e1fb-4139-aff5-1255b8ab4d86</t>
  </si>
  <si>
    <t>Tabel 7 2025: Aluminium foil (d=0.1 mm)</t>
  </si>
  <si>
    <t>8686d990-a212-4b00-81cd-bbe92534180c</t>
  </si>
  <si>
    <t>Tabel 7 2025: Aluminium sheet</t>
  </si>
  <si>
    <t>013a53d1-8fed-427f-a79e-a6d21407ec3f</t>
  </si>
  <si>
    <t>Tabel 7 2025: Aluminium section</t>
  </si>
  <si>
    <t>5317384e-7fc7-4334-919d-264e6e3bcf81</t>
  </si>
  <si>
    <t>Tabel 7 2025: Ammonia (R717)</t>
  </si>
  <si>
    <t>f32aa7b1-d35e-4fab-94af-627389e2a0de</t>
  </si>
  <si>
    <t>f74c55e0-dfc0-4043-91de-d918dceac445</t>
  </si>
  <si>
    <t>Tabel 7 2025: Asphalt supporting layer</t>
  </si>
  <si>
    <t>76244e68-5c33-44f5-bea6-78b7f836492d</t>
  </si>
  <si>
    <t>7878f1b6-4023-4ede-a363-0fd23885d435</t>
  </si>
  <si>
    <t>Tabel 7 2025: Window fitting for tilt and turn window</t>
  </si>
  <si>
    <t>168e5da6-64e3-4bef-8d33-0d7327297704</t>
  </si>
  <si>
    <t>Tabel 7 2025: Window fitting for vertical sliding window</t>
  </si>
  <si>
    <t>bd1de5fc-fa49-434f-aa69-20472c6323cd</t>
  </si>
  <si>
    <t>Tabel 7 2025: Window fitting for horizontal sliding window</t>
  </si>
  <si>
    <t>23538024-5254-4f94-9dd6-3c7f9d533f0c</t>
  </si>
  <si>
    <t>Tabel 7 2025: Steel window fitting</t>
  </si>
  <si>
    <t>70306ada-ed43-4d16-9eeb-0e5c47f38786</t>
  </si>
  <si>
    <t>b83b9e7a-6dd0-4c89-bb3a-2656ba64fbbd</t>
  </si>
  <si>
    <t>259d64ec-f220-4805-ba99-1a28116b3082</t>
  </si>
  <si>
    <t>38f0e99c-b548-4961-8c5b-716935e51dd6</t>
  </si>
  <si>
    <t>b0eb3872-681f-4926-a6ff-a4abb949df65</t>
  </si>
  <si>
    <t>Tabel 7 2025: Concrete masonry brick</t>
  </si>
  <si>
    <t>386839f2-2395-4837-bed2-ac3f1bf6ffbd</t>
  </si>
  <si>
    <t>Tabel 7 2025: Concrete pipe, reinforced</t>
  </si>
  <si>
    <t>387e876c-20b8-44e1-abba-b462808b2856</t>
  </si>
  <si>
    <t>93e404e4-575c-45e9-bbb6-9d8892aa9772</t>
  </si>
  <si>
    <t>Tabel 7 2025: Concrete pipe, non-reinforced</t>
  </si>
  <si>
    <t>4380000d-b6c7-4ed2-a535-b844bedb16d8</t>
  </si>
  <si>
    <t>Tabel 7 2025: Precast concrete part, stairs, (1,1 m wide, 9 steps each 16 cm)</t>
  </si>
  <si>
    <t>d1888fa1-9628-4fe9-a68e-43affab2990a</t>
  </si>
  <si>
    <t>Tabel 7 2025: Asphalt binder</t>
  </si>
  <si>
    <t>4e07bcc8-e145-4e9e-a99e-19a2b06e541a</t>
  </si>
  <si>
    <t>Tabel 7 2025: Bitumen emulsion (40% bitumen, 60% water)</t>
  </si>
  <si>
    <t>aaf0ff53-267d-4a7c-8c83-f18f73164eb9</t>
  </si>
  <si>
    <t>Tabel 7 2025: Bitumen cold adhesive (60% bitumen, 23% solvent, 17% water)</t>
  </si>
  <si>
    <t>fa6c619d-f851-4c43-bb81-9f68639a26b4</t>
  </si>
  <si>
    <t>Tabel 7 2025: Lead sheets</t>
  </si>
  <si>
    <t>388b5a49-a64e-4d9b-b9a8-14d2be82b6ce</t>
  </si>
  <si>
    <t>Tabel 7 2025: Ventilation centralized per 10000 m3/h</t>
  </si>
  <si>
    <t>96e6fb26-af67-47e3-8660-10a8e841c52d</t>
  </si>
  <si>
    <t>Tabel 7 2025: Ventilation centralized per 30000 m3/h</t>
  </si>
  <si>
    <t>84c0bbfa-2b56-430f-b24c-03357082b00f</t>
  </si>
  <si>
    <t>Tabel 7 2025: Ventilation centralized per 5000 m3/h</t>
  </si>
  <si>
    <t>d1bc982b-9e0e-4a24-9d8d-ed13362e7adc</t>
  </si>
  <si>
    <t>Tabel 7 2025: Cotton, conventional</t>
  </si>
  <si>
    <t>2fd013bd-def9-456d-b21f-0eef1ebc19f8</t>
  </si>
  <si>
    <t>Tabel 7 2025: Cotton, organic</t>
  </si>
  <si>
    <t>54b9c980-9155-4c2d-971d-fcca64286f7b</t>
  </si>
  <si>
    <t>Tabel 7 2025: Drinking water pipe PE-X-Alu</t>
  </si>
  <si>
    <t>9a4f5da8-ce23-4757-a388-1331007691d8</t>
  </si>
  <si>
    <t>Tabel 7 2025: Drinking water pipe PB</t>
  </si>
  <si>
    <t>0678bd8c-be08-42da-b292-b43b46d64672</t>
  </si>
  <si>
    <t>Tabel 7 2025: Drinking water pipe PE X-Alu-PE X</t>
  </si>
  <si>
    <t>5478b472-0d86-48bb-a969-c4f80f4c5ceb</t>
  </si>
  <si>
    <t>Tabel 7 2025: Stainless steel drinking water pipe</t>
  </si>
  <si>
    <t>39b270d8-4c44-47f1-9c42-4f391fdc5278</t>
  </si>
  <si>
    <t>Tabel 7 2025: Buffer storage (stainless steel)</t>
  </si>
  <si>
    <t>c2190388-b3c0-4338-9995-0ff3bf23d4ae</t>
  </si>
  <si>
    <t>Tabel 7 2025: Buffer storage (steel)</t>
  </si>
  <si>
    <t>98daa7f3-7499-45f7-a84a-38049469fe18</t>
  </si>
  <si>
    <t>Tabel 7 2025: Kraft paper</t>
  </si>
  <si>
    <t>4f37a903-3529-4c95-8426-e6bb19ba9c0d</t>
  </si>
  <si>
    <t>Tabel 7 2025: Asphalt surface layer</t>
  </si>
  <si>
    <t>9d301e29-24ae-454a-a343-6f4099e6c191</t>
  </si>
  <si>
    <t>Tabel 7 2025: CR profile (chloroprene rubber)</t>
  </si>
  <si>
    <t>98646d08-4cd7-40ef-97a9-00e1708c83d6</t>
  </si>
  <si>
    <t>Tabel 7 2025: Foamglas® t4+</t>
  </si>
  <si>
    <t>ad182920-8d0c-4a72-94d5-e950b25bfac1</t>
  </si>
  <si>
    <t>Tabel 7 2025: Foamglas® f</t>
  </si>
  <si>
    <t>bb1b9980-99cd-4cbe-a4bc-cc18eb1fe793</t>
  </si>
  <si>
    <t>79ba481d-6e5a-42f7-807e-d820d9d0fa7f</t>
  </si>
  <si>
    <t>9e9412f8-d3da-4abc-8771-cf3fefac7d6d</t>
  </si>
  <si>
    <t>Tabel 7 2025: Cement bound particle board (generic)</t>
  </si>
  <si>
    <t>bb95eef6-4ad1-47fb-82ec-ed1838b66f62</t>
  </si>
  <si>
    <t>Tabel 7 2025: Circulating pump 250-1000W</t>
  </si>
  <si>
    <t>06f55562-3064-4ae8-a3f3-4e26f465c1da</t>
  </si>
  <si>
    <t>Tabel 7 2025: Circulating pump 50-250W</t>
  </si>
  <si>
    <t>7c87a28d-ceea-4cc5-a78d-597cb5a99e04</t>
  </si>
  <si>
    <t>Tabel 7 2025: Circulating pump &lt; 50W</t>
  </si>
  <si>
    <t>e2b04c88-cc2b-40eb-b290-fb1eb8d9b632</t>
  </si>
  <si>
    <t>Tabel 7 2025: Circular ventilation ducts</t>
  </si>
  <si>
    <t>790cfa2b-b637-46e7-8196-9ca74c67f1bb</t>
  </si>
  <si>
    <t>Tabel 7 2025: Aluminium mullion-transom system with triple glazing</t>
  </si>
  <si>
    <t>3902d036-283c-4eee-b825-0e3d1b1d05f7</t>
  </si>
  <si>
    <t>Tabel 7 2025: Steel mullion-transom system with triple glazing</t>
  </si>
  <si>
    <t>67a35653-ccc0-4bd6-bda9-dd7ddd78a88b</t>
  </si>
  <si>
    <t>Tabel 7 2025: Aluminium mullion-transom system</t>
  </si>
  <si>
    <t>eb4da4a1-ac8d-4372-ac31-88f008adf74c</t>
  </si>
  <si>
    <t>Tabel 7 2025: Steel mullion-transom system</t>
  </si>
  <si>
    <t>97879a2e-da34-4e24-9004-3d4048f4e01a</t>
  </si>
  <si>
    <t>Tabel 7 2025: Damp insulation PA</t>
  </si>
  <si>
    <t>2cf9be3e-c9ee-41a4-b46b-ed0c92aa5321</t>
  </si>
  <si>
    <t>Tabel 7 2025: Damp insulation PE</t>
  </si>
  <si>
    <t>2af1448a-d57d-49ab-a22e-f1b2c7af218c</t>
  </si>
  <si>
    <t>Tabel 7 2025: Bitumen sheets V 60</t>
  </si>
  <si>
    <t>3146eb72-5b16-427f-a7d6-8f7040f3d5e9</t>
  </si>
  <si>
    <t>Tabel 7 2025: Ventilation decentralized with heat recovery (wall, ceiling) 60 m3/h</t>
  </si>
  <si>
    <t>2b3547bc-8d4e-496c-a715-c97ca3667e60</t>
  </si>
  <si>
    <t>Tabel 7 2025: Difluoromethane (R32)</t>
  </si>
  <si>
    <t>8386329a-bef5-4af1-9684-97d0467caa7f</t>
  </si>
  <si>
    <t>Tabel 7 2025: Medallion Door</t>
  </si>
  <si>
    <t>cd2bc964-0756-44f7-890f-0c429cb01d64</t>
  </si>
  <si>
    <t>Tabel 7 2025: ECB roofing membrane according to DIN 16729 (with PES fleece)</t>
  </si>
  <si>
    <t>35da1476-0ece-4949-94a8-c5f260853b38</t>
  </si>
  <si>
    <t>Tabel 7 2025: EPDM foam (pipe insulation)</t>
  </si>
  <si>
    <t>1d3af4fa-1a6c-4d82-a67d-5508da3ed13e</t>
  </si>
  <si>
    <t>Tabel 7 2025: EPDM sealing for aluminium section</t>
  </si>
  <si>
    <t>230fd192-0c04-4417-820b-47333b1cd7ff</t>
  </si>
  <si>
    <t>Tabel 7 2025: EPDM sealing for aluminium section, thermally separated</t>
  </si>
  <si>
    <t>7f957323-e2de-4f9c-b8d3-e0635cbc9e17</t>
  </si>
  <si>
    <t>3a0c6c3a-45bb-44d7-bdd2-e84afed836ab</t>
  </si>
  <si>
    <t>8e9a9593-1278-4a0b-9c04-47f2505f2961</t>
  </si>
  <si>
    <t>19aa760f-403b-4ee0-89af-beb668edd6ff</t>
  </si>
  <si>
    <t>9428374e-1fe4-4554-b688-e8745feb63e4</t>
  </si>
  <si>
    <t>96f0943e-8964-4bfa-b019-63a815402d76</t>
  </si>
  <si>
    <t>2d704b40-77ee-4051-9f91-aa602955e797</t>
  </si>
  <si>
    <t>Tabel 7 2025: ETICS gluing and coating mineral lightweight plaster</t>
  </si>
  <si>
    <t>9e9e75f5-ad1e-4b5c-8e8b-5e1daae6c2e6</t>
  </si>
  <si>
    <t>Tabel 7 2025: ETICS gluing and coating mineral decor plaster</t>
  </si>
  <si>
    <t>48a4d96e-3d96-40d4-97f5-28032673d766</t>
  </si>
  <si>
    <t>Tabel 7 2025: ETICS gluing and coating scratched plaster</t>
  </si>
  <si>
    <t>e3310871-06f0-460e-a397-3d29184ea863</t>
  </si>
  <si>
    <t>Tabel 7 2025: ETICS gluing and coating silcate dispersion plaster</t>
  </si>
  <si>
    <t>aaa2f3dd-e84d-47ac-9b33-fccdc2e59c02</t>
  </si>
  <si>
    <t>Tabel 7 2025: ETICS gluing and coating silicate dispersion plaster</t>
  </si>
  <si>
    <t>1f996148-b368-49af-8ccd-5b3d58ffae39</t>
  </si>
  <si>
    <t>Tabel 7 2025: ETICS gluing and coating synthetic resin plaster</t>
  </si>
  <si>
    <t>b39cc74b-0baa-4aab-85cf-141ba14b6b33</t>
  </si>
  <si>
    <t>Tabel 7 2025: EVA roof sheets</t>
  </si>
  <si>
    <t>cde8fc0b-16d0-455a-bf9a-d74e1ee76ea7</t>
  </si>
  <si>
    <t>Tabel 7 2025: Expanded glass granulate</t>
  </si>
  <si>
    <t>7a24d199-e5d6-4a30-8e38-ecb59573ab24</t>
  </si>
  <si>
    <t>Tabel 7 2025: Expanded shale</t>
  </si>
  <si>
    <t>a53a6043-5618-468f-83f4-7e2cf31b4163</t>
  </si>
  <si>
    <t>Tabel 7 2025: Electric heat pump (brine-water, geothermal collector) 10 kW</t>
  </si>
  <si>
    <t>55e6dd93-ff50-4fbc-8360-ff29fb14fb5a</t>
  </si>
  <si>
    <t>Tabel 7 2025: Electric heat pump (brine-water, geothermal probe) 20 kW</t>
  </si>
  <si>
    <t>c313a56c-9082-4b74-88e4-d60754d5dfce</t>
  </si>
  <si>
    <t>726abebd-6a63-47f9-a8f2-fa64e6468386</t>
  </si>
  <si>
    <t>Tabel 7 2025: Elevator basic component (independent of floor)</t>
  </si>
  <si>
    <t>3e9b36c3-6ec0-4f0b-97f6-e24642530404</t>
  </si>
  <si>
    <t>Tabel 7 2025: Elevator basic component (dependent of floor)</t>
  </si>
  <si>
    <t>87b82b3c-a6db-43d8-b179-c9d148287fa1</t>
  </si>
  <si>
    <t>17aac44d-082d-49d7-8bd1-4d00422e1b82</t>
  </si>
  <si>
    <t>2a4eeb06-d482-4d14-a273-25c588249278</t>
  </si>
  <si>
    <t>28349df7-497b-441c-887a-13f575e90704</t>
  </si>
  <si>
    <t>459ec55a-4e24-4612-8e0f-a3778eba2466</t>
  </si>
  <si>
    <t>f68d635c-e260-4de1-898b-43abd5cb1337</t>
  </si>
  <si>
    <t>d5924fe9-5664-4272-8a74-d51c82e6b757</t>
  </si>
  <si>
    <t>44de1496-59c5-49ba-bef7-d7e3ec718f59</t>
  </si>
  <si>
    <t>9aff917e-d287-4300-be30-fb91b7c0f80e</t>
  </si>
  <si>
    <t>c59e9fdd-b6e8-4897-b423-48f62b3e6dfd</t>
  </si>
  <si>
    <t>a4e8d0d6-16bb-4cc3-93e1-1b57a8f2cfd0</t>
  </si>
  <si>
    <t>6d4038c3-8dec-4263-86c9-4b482707812c</t>
  </si>
  <si>
    <t>Tabel 7 2025: Facade clinker</t>
  </si>
  <si>
    <t>7b8ea2df-a8ed-4628-b48d-07b875894f18</t>
  </si>
  <si>
    <t>5a4a0b3d-d103-4335-9287-24aead794b8d</t>
  </si>
  <si>
    <t>8188a2bf-e276-49dd-bd1b-16798de199be</t>
  </si>
  <si>
    <t>d3e37ae9-5c81-4896-bae9-9acd9217835a</t>
  </si>
  <si>
    <t>Tabel 7 2025: PE/PP fleece</t>
  </si>
  <si>
    <t>95f36a7e-a93d-4193-b5bc-4f8738aef9fa</t>
  </si>
  <si>
    <t>2652aae3-8502-40bd-aaff-c0ed49017383</t>
  </si>
  <si>
    <t>39845907-4f06-411e-b944-d81d43aa71fa</t>
  </si>
  <si>
    <t>Tabel 7 2025: District heating transfer station</t>
  </si>
  <si>
    <t>ab19fc9f-3fd5-48c0-8fbc-df9e6cbe2e63</t>
  </si>
  <si>
    <t>3aa9eb6e-7075-4518-845d-8c92c845931e</t>
  </si>
  <si>
    <t>21ac61e5-7dab-48f0-81c1-23572493beb5</t>
  </si>
  <si>
    <t>Tabel 7 2025: Foil for green roof</t>
  </si>
  <si>
    <t>7ebc85e6-7eb4-4ce2-9e8b-470fe7c5042f</t>
  </si>
  <si>
    <t>Tabel 7 2025: PE-HD with PP fleece for sealing</t>
  </si>
  <si>
    <t>1348baec-b7fc-42fa-aa88-c2b21fb51a8b</t>
  </si>
  <si>
    <t>1d24d306-f63c-4ee9-8a08-6fd06eb6f71d</t>
  </si>
  <si>
    <t>Tabel 7 2025: PE foil, dimpled</t>
  </si>
  <si>
    <t>e37ad9f0-bf48-418d-bdb2-0491a1a541b7</t>
  </si>
  <si>
    <t>46bd3789-e81c-4f09-9b99-0b3e569a3c5c</t>
  </si>
  <si>
    <t>816a11ab-1b62-4c25-86a8-951c4db8b73c</t>
  </si>
  <si>
    <t>Tabel 7 2025: Gas heat pump (air) 20-70 kW</t>
  </si>
  <si>
    <t>66719b4e-5a9f-4055-a3f5-6e2425424c07</t>
  </si>
  <si>
    <t>Tabel 7 2025: Gas low temperature boiler 120-400 kW (upright unit)</t>
  </si>
  <si>
    <t>e5289798-1334-4a61-a54e-24ee09052e5c</t>
  </si>
  <si>
    <t>Tabel 7 2025: Gas low temperature boiler 20-120 kW (upright unit)</t>
  </si>
  <si>
    <t>e05e6421-ead4-42ff-8cf5-e4a480fd7878</t>
  </si>
  <si>
    <t>Tabel 7 2025: Gas low temperature boiler &lt; 20 kW (upright unit)</t>
  </si>
  <si>
    <t>6997d180-f070-4452-b426-664de15cff9b</t>
  </si>
  <si>
    <t>Tabel 7 2025: Gypsum (CaSO4 beta hemihydrate)</t>
  </si>
  <si>
    <t>42adf468-78b5-4b1a-bf94-bd736c5c0183</t>
  </si>
  <si>
    <t>Tabel 7 2025: Dry floor screed (gypsum fiber board, 25 mm)</t>
  </si>
  <si>
    <t>8223df93-8eee-4590-9be8-e195d3c6eae4</t>
  </si>
  <si>
    <t>Tabel 7 2025: Dry floor screed (gypsum plaster board, 25 mm)</t>
  </si>
  <si>
    <t>d26a5853-7f1f-4722-9b83-3bb72f74696e</t>
  </si>
  <si>
    <t>33ea510b-a627-4fd2-812c-5f09b9484c5d</t>
  </si>
  <si>
    <t>550d0df1-cdfa-4553-9a85-c33d64d3f89f</t>
  </si>
  <si>
    <t>e4dbd044-05ab-4972-8548-702fe31aaf35</t>
  </si>
  <si>
    <t>80203711-cb3a-414d-86e1-9409ae4ff7f9</t>
  </si>
  <si>
    <t>9d833707-478c-470a-af63-18d3c961ddbb</t>
  </si>
  <si>
    <t>c14cd02c-7e7c-429e-a2ee-9a1291d38bc7</t>
  </si>
  <si>
    <t>e6ade942-5b0e-49e7-b983-a517575a6300</t>
  </si>
  <si>
    <t>Tabel 7 2025: Gypsum (CaSO4 alpha semihydrate)</t>
  </si>
  <si>
    <t>5e803e73-8f1c-4974-8302-8616645ba93f</t>
  </si>
  <si>
    <t>Tabel 7 2025: Gypsum stone (CaSO4-Dihydrate)</t>
  </si>
  <si>
    <t>41cfe66b-547e-43af-8248-108d74d243e4</t>
  </si>
  <si>
    <t>Tabel 7 2025: Window glass, single</t>
  </si>
  <si>
    <t>c1584cbd-feef-4163-980e-94fd59931c0b</t>
  </si>
  <si>
    <t>Tabel 7 2025: Glass bricks</t>
  </si>
  <si>
    <t>83d22016-3af4-41cc-9041-56e5ad29933c</t>
  </si>
  <si>
    <t>Tabel 7 2025: Polyester resin laminated part (GFRP, 30% glass fibres)</t>
  </si>
  <si>
    <t>a49fc95a-cdc5-4279-b9b6-8ba78a717b14</t>
  </si>
  <si>
    <t>Tabel 7 2025: Glass fibre fleece</t>
  </si>
  <si>
    <t>580ffe20-6822-498f-aa08-ac8386416d82</t>
  </si>
  <si>
    <t>Tabel 7 2025: VELUX Modular Skylight (double glazing configuration)</t>
  </si>
  <si>
    <t>2d82e635-2fb5-4e37-8223-0b96250a87a8</t>
  </si>
  <si>
    <t>adcb8da1-4a16-4614-8085-4e84d8ac1d74</t>
  </si>
  <si>
    <t>9c914e53-2633-460a-be50-4aed2552a579</t>
  </si>
  <si>
    <t>e97b29eb-f998-4159-9623-9e13e56bf3da</t>
  </si>
  <si>
    <t>026fb9ba-b6f7-4583-8ca5-292f71c5f400</t>
  </si>
  <si>
    <t>Tabel 7 2025: Primer (Silicone resin)</t>
  </si>
  <si>
    <t>07d3ecf9-336c-401b-9208-d677ec98327b</t>
  </si>
  <si>
    <t>Tabel 7 2025: Primer (Silicate dispersion)</t>
  </si>
  <si>
    <t>7de7533d-2372-4f68-8fb5-e4e2899c402f</t>
  </si>
  <si>
    <t>Tabel 7 2025: Crushed stone 16/32 (dried)</t>
  </si>
  <si>
    <t>e18a18e9-a2c5-4472-9d23-85a83ac7fd8d</t>
  </si>
  <si>
    <t>Tabel 7 2025: Gravel 2/32 (dried)</t>
  </si>
  <si>
    <t>bb48ea57-9b5f-4c7d-aace-d3120ac7e54a</t>
  </si>
  <si>
    <t>15ef2681-b9e8-4fd3-9441-9096e2763b84</t>
  </si>
  <si>
    <t>Tabel 7 2025: Crushed stone 2/15 (dried)</t>
  </si>
  <si>
    <t>72a9556c-d738-443d-a027-5bc04a1de35d</t>
  </si>
  <si>
    <t>Tabel 7 2025: Grey cast iron part</t>
  </si>
  <si>
    <t>db43b67a-e13e-46e1-9260-7c1af0c5804a</t>
  </si>
  <si>
    <t>Tabel 7 2025: Underfloor heating system PP (100mm distance)</t>
  </si>
  <si>
    <t>cc0b9bb3-9f13-4f5f-ab06-287aaa61ac68</t>
  </si>
  <si>
    <t>Tabel 7 2025: Underfloor heating system PEX (200mm distance)</t>
  </si>
  <si>
    <t>1d560178-7746-46d2-bd13-4fe2cab47295</t>
  </si>
  <si>
    <t>Tabel 7 2025: Underfloor heating system PEX (100mm distance)</t>
  </si>
  <si>
    <t>d19e7e83-6b67-4c17-bec9-f60d9f4ff35a</t>
  </si>
  <si>
    <t>Tabel 7 2025: Underfloor heating system PP (200mm distance)</t>
  </si>
  <si>
    <t>4b2eaa09-07b0-49ba-82e3-e49280ea6ccb</t>
  </si>
  <si>
    <t>Tabel 7 2025: Underfloor heating system copper (100mm distance)</t>
  </si>
  <si>
    <t>fac06a6c-6ff9-4e96-92ba-436a36270042</t>
  </si>
  <si>
    <t>Tabel 7 2025: Underfloor heating system copper (200mm distance)</t>
  </si>
  <si>
    <t>b1968514-716e-4866-9956-74cce985fd10</t>
  </si>
  <si>
    <t>Tabel 7 2025: Rubber floor covering with foam coating EN 1816 (4 mm)</t>
  </si>
  <si>
    <t>fc15dd5b-80b9-49bb-8621-d2d612041eaf</t>
  </si>
  <si>
    <t>Tabel 7 2025: Rubber floor covering profiled EN 12199 (3,55 mm)</t>
  </si>
  <si>
    <t>52b78c42-00cb-4c1a-a120-4642ac73655a</t>
  </si>
  <si>
    <t>Tabel 7 2025: Rubber sealing compound</t>
  </si>
  <si>
    <t>659d3934-bea4-4f44-96ce-5238acb97c48</t>
  </si>
  <si>
    <t>Tabel 7 2025: HPL board</t>
  </si>
  <si>
    <t>1ab8b1c5-03ab-4c04-953e-d66f7c33df06</t>
  </si>
  <si>
    <t>Tabel 7 2025: Hemp fibre fleece</t>
  </si>
  <si>
    <t>7fd68ed0-7d6e-4042-b18a-e82c14cc4974</t>
  </si>
  <si>
    <t>626de427-8d20-43e2-bc1d-5ed66b7f1d8c</t>
  </si>
  <si>
    <t>59ccf733-8872-4741-b356-84f4995834d7</t>
  </si>
  <si>
    <t>03c8677e-d3e2-4567-9243-0af4d0c441d2</t>
  </si>
  <si>
    <t>Tabel 7 2025: Flax fibre fleece</t>
  </si>
  <si>
    <t>0e29ce53-74fd-4dd9-8a1f-d5686a75ed47</t>
  </si>
  <si>
    <t>209b49d2-79c5-46c0-888e-a7841731d9d9</t>
  </si>
  <si>
    <t>8713a98f-f555-4e78-adbe-2dca688939ba</t>
  </si>
  <si>
    <t>dbb047cb-c356-432f-9ea4-5ff1798f9d4d</t>
  </si>
  <si>
    <t>Tabel 7 2025: Calcium silicate board</t>
  </si>
  <si>
    <t>9d364e9c-c1ae-470c-bfe4-5f9eeb978ea8</t>
  </si>
  <si>
    <t>Tabel 7 2025: Calcium sulfate screed</t>
  </si>
  <si>
    <t>3e3e5520-314d-45a1-a7bf-6e26be037a6e</t>
  </si>
  <si>
    <t>Tabel 7 2025: Lime (CaO, Finelime)</t>
  </si>
  <si>
    <t>11a26203-3580-479a-8645-655fb3e422cf</t>
  </si>
  <si>
    <t>2af36d8b-144a-4cee-961b-2ffb7084395e</t>
  </si>
  <si>
    <t>Tabel 7 2025: Lime plaster</t>
  </si>
  <si>
    <t>b1358041-f641-46a2-9e20-bfcca4e4702d</t>
  </si>
  <si>
    <t>Tabel 7 2025: Lime interior plaster</t>
  </si>
  <si>
    <t>539b8fe8-0a7f-44ab-b1d5-59f7d43ed741</t>
  </si>
  <si>
    <t>e579fb7f-694d-495a-8d5c-b82c3eaf0631</t>
  </si>
  <si>
    <t>Tabel 7 2025: Stoneware tiles glazed</t>
  </si>
  <si>
    <t>10519aea-2a5f-4fd8-b228-655f35b5aa05</t>
  </si>
  <si>
    <t>Tabel 7 2025: Stoneware tiles unglazed</t>
  </si>
  <si>
    <t>0e6264d0-28a2-47f7-bbda-61f3daf6829d</t>
  </si>
  <si>
    <t>Tabel 7 2025: Laminated veneer board (generic)</t>
  </si>
  <si>
    <t>b8c7866e-cede-4351-9474-74e86e797faa</t>
  </si>
  <si>
    <t>Tabel 7 2025: Chlorodifluoromethane (R22)</t>
  </si>
  <si>
    <t>0be8f0c4-ae38-4397-8a5b-9c3fa50a75ac</t>
  </si>
  <si>
    <t>Tabel 7 2025: Gas condensing boiler120-400 kW (upright unit)</t>
  </si>
  <si>
    <t>d52053bc-7523-4bb9-bc92-bd3209bf723a</t>
  </si>
  <si>
    <t>Tabel 7 2025: Gas condensing boiler 20-120 kW (upright unit)</t>
  </si>
  <si>
    <t>ac9afb37-f42a-4a3f-a3d1-693ed171ec75</t>
  </si>
  <si>
    <t>Tabel 7 2025: Gas condensing boiler &lt; 20 kW (upright unit)</t>
  </si>
  <si>
    <t>29ca56b6-7014-4631-a4fa-73dda671bad0</t>
  </si>
  <si>
    <t>Tabel 7 2025: Oil condensing boiler &lt; 20 kW (wall unit)</t>
  </si>
  <si>
    <t>e3fc1fed-6bef-492a-b688-0e02b6a4a8b4</t>
  </si>
  <si>
    <t>57016e51-808a-4c95-b589-fe3c42d5b0f8</t>
  </si>
  <si>
    <t>777a2f9f-21f4-47f4-bcc4-a6632d0a5284</t>
  </si>
  <si>
    <t>ef8c44e8-e1a3-47ce-846f-71dba19b2d6c</t>
  </si>
  <si>
    <t>1ccb1ead-b052-4eaf-9993-d45ed6e0acb8</t>
  </si>
  <si>
    <t>be369a20-4195-42ee-87a8-8d29bfe7fc7f</t>
  </si>
  <si>
    <t>a178aa0c-9f6a-47ff-b2e5-4457386dd2ac</t>
  </si>
  <si>
    <t>c868207d-e604-40da-907a-00a3e9428bfd</t>
  </si>
  <si>
    <t>Tabel 7 2025: Cork linoleum floor covering</t>
  </si>
  <si>
    <t>10259ee3-1701-43cb-808a-9f8f35bb2d20</t>
  </si>
  <si>
    <t>Tabel 7 2025: Expanded cork</t>
  </si>
  <si>
    <t>9e3aadf3-93f3-41d3-80d5-5eb10e83cb99</t>
  </si>
  <si>
    <t>Tabel 7 2025: Cork slab, 4 mm (generic)</t>
  </si>
  <si>
    <t>472b9b47-8c07-432c-9ad5-357fda558de7</t>
  </si>
  <si>
    <t>Tabel 7 2025: Cork slab, 6 mm (generic)</t>
  </si>
  <si>
    <t>249144de-b91a-445f-a829-8dec14b2b9e2</t>
  </si>
  <si>
    <t>Tabel 7 2025: Cork slab, 8 mm (generic)</t>
  </si>
  <si>
    <t>1548c026-4728-4c55-a00b-7c5ad8e09a00</t>
  </si>
  <si>
    <t>f67b60dd-eb6d-4b59-bc8d-189feaf7f8b3</t>
  </si>
  <si>
    <t>5388c41d-3ad1-436c-bb41-393f65726aba</t>
  </si>
  <si>
    <t>Tabel 7 2025: Carbon dioxide (R744)</t>
  </si>
  <si>
    <t>4535b225-7d7d-441a-8494-95a32d4d4be9</t>
  </si>
  <si>
    <t>Tabel 7 2025: Artificial stone slab (epoxy-resin bound)</t>
  </si>
  <si>
    <t>8c8f7705-c216-4ded-824e-61df2c6d5dc0</t>
  </si>
  <si>
    <t>Tabel 7 2025: Refrigerant R404a</t>
  </si>
  <si>
    <t>3aeaefe3-90cc-433b-972b-37d5ac616855</t>
  </si>
  <si>
    <t>83e09437-e12c-4bb3-9eb5-921b68af9acb</t>
  </si>
  <si>
    <t>d964cac2-b99d-482a-8b16-7a4b79e512d5</t>
  </si>
  <si>
    <t>Tabel 7 2025: Liquefied gas tank 2700 l / 1,2 t (underground)</t>
  </si>
  <si>
    <t>893e638d-8e8e-4275-bef9-8c75b5626367</t>
  </si>
  <si>
    <t>Tabel 7 2025: Liquefied gas tank 2700 l / 1,2 t (above ground)</t>
  </si>
  <si>
    <t>fd47aa6d-7bbb-492e-a1d3-2061ebcca602</t>
  </si>
  <si>
    <t>Tabel 7 2025: Liquefied gas tank 4850 l / 2,1 t (underground)</t>
  </si>
  <si>
    <t>f1752104-e7a9-431e-9292-4805e8537600</t>
  </si>
  <si>
    <t>Tabel 7 2025: Liquefied gas tank 4850 l / 2,1 t (above ground)</t>
  </si>
  <si>
    <t>75b04585-8fba-43a3-9c2f-51913f1f232a</t>
  </si>
  <si>
    <t>Tabel 7 2025: Liquefied gas tank 6400 l / 2,9 t (underground)</t>
  </si>
  <si>
    <t>412dfa83-124c-40fb-9ce8-0a3b0282dc07</t>
  </si>
  <si>
    <t>Tabel 7 2025: Liquefied gas tank 6400 l / 2,9 t (above ground)</t>
  </si>
  <si>
    <t>5573c591-9b72-41a5-b3bf-f0dcc109ebaf</t>
  </si>
  <si>
    <t>Tabel 7 2025: Lava granulate</t>
  </si>
  <si>
    <t>0ad3c323-5f1d-4260-8a28-36fb81b6fe6d</t>
  </si>
  <si>
    <t>Tabel 7 2025: Clay powder</t>
  </si>
  <si>
    <t>f9348fa1-a3d1-4713-bfb3-2727da006812</t>
  </si>
  <si>
    <t>Tabel 7 2025: Rammed earth wall</t>
  </si>
  <si>
    <t>a86faa9f-4034-4567-bd35-216bb8e902d7</t>
  </si>
  <si>
    <t>Tabel 7 2025: Clay panel</t>
  </si>
  <si>
    <t>dbb03e81-90f7-41c9-b345-f66c6a595030</t>
  </si>
  <si>
    <t>Tabel 7 2025: Clay plaster</t>
  </si>
  <si>
    <t>5aaa799d-9870-4ea6-ad6e-91be96c98226</t>
  </si>
  <si>
    <t>Tabel 7 2025: Stoneware pipes DN 250</t>
  </si>
  <si>
    <t>027e23fa-e622-462d-b6de-9d8e2b874788</t>
  </si>
  <si>
    <t>Tabel 7 2025: Stoneware pipes DN 400</t>
  </si>
  <si>
    <t>92bb575c-4159-4b0b-a907-27eec5ed9942</t>
  </si>
  <si>
    <t>Tabel 7 2025: Adobe</t>
  </si>
  <si>
    <t>e56e4dc4-9ae1-40a8-948d-66cf6affcd5a</t>
  </si>
  <si>
    <t>f9104c97-2df6-43d1-850e-5817e8cf59a7</t>
  </si>
  <si>
    <t>f52a89ad-53b5-4a9b-b5cb-2356ec6af519</t>
  </si>
  <si>
    <t>626cc1a4-39d3-4d7f-80b7-5e6c69281510</t>
  </si>
  <si>
    <t>a1e9d24d-e73a-41da-9c42-098ef26a970a</t>
  </si>
  <si>
    <t>b66c280c-b79a-468d-ad9e-1bd2ade674ad</t>
  </si>
  <si>
    <t>9fdab9b7-b657-4bcc-bc0a-ad94c9f78a87</t>
  </si>
  <si>
    <t>1e48decb-35c9-4c04-b7d2-4a6cadd1a813</t>
  </si>
  <si>
    <t>81f58963-c243-4c5b-8b64-38dd51ca443e</t>
  </si>
  <si>
    <t>c113aaaa-6466-46d2-b647-2d87d63b0671</t>
  </si>
  <si>
    <t>Tabel 7 2025: Adhesive for gypsum board</t>
  </si>
  <si>
    <t>6f59f917-6c9e-4e0d-8594-6cbb418e0436</t>
  </si>
  <si>
    <t>4a048c0e-33cf-4a2d-96e9-a51ec72281a2</t>
  </si>
  <si>
    <t>Tabel 7 2025: Linoleum</t>
  </si>
  <si>
    <t>cf5b54cd-4fc4-4fe1-9716-024d3cc47e48</t>
  </si>
  <si>
    <t>Tabel 7 2025: Lithium iron phosphate (LiFePO4) battery (per 1kWh storage)</t>
  </si>
  <si>
    <t>b8e22e42-3264-47e8-beb9-228a40947913</t>
  </si>
  <si>
    <t>Tabel 7 2025: Lithium bromide</t>
  </si>
  <si>
    <t>274ad3be-5f8f-48fc-9733-36b142f1dbc3</t>
  </si>
  <si>
    <t>Tabel 7 2025: Mineral fibre ceiling board (15 mm)</t>
  </si>
  <si>
    <t>6cd6b910-66cb-46b3-aeae-80164b59a217</t>
  </si>
  <si>
    <t>Tabel 7 2025: Calcium hydroxide (Ca(OH)2, dry, slaked lime)</t>
  </si>
  <si>
    <t>de25a9a0-9329-4e81-a011-584ede5214a0</t>
  </si>
  <si>
    <t>Tabel 7 2025: Marble slab</t>
  </si>
  <si>
    <t>cd30b45f-1330-476f-8c19-8fcc4d9426b9</t>
  </si>
  <si>
    <t>Tabel 7 2025: Melamin resin foam</t>
  </si>
  <si>
    <t>a2d8cf01-b3c0-4059-a529-7db0674937d4</t>
  </si>
  <si>
    <t>Tabel 7 2025: Brass component</t>
  </si>
  <si>
    <t>c69877db-7ef2-4eba-a5cf-ea8bf2cc1d47</t>
  </si>
  <si>
    <t>0bbe70cb-82a3-44a1-8023-dbfd4eb66c80</t>
  </si>
  <si>
    <t>23fc340f-cc3e-4ef8-92f7-c20ed7426eb6</t>
  </si>
  <si>
    <t>adfaffdb-7bb4-447b-81b6-a15fdb151e9a</t>
  </si>
  <si>
    <t>cf5fd7cd-e68a-45a9-8850-e43ad004287c</t>
  </si>
  <si>
    <t>3dd3d6c1-9f86-45bb-98c4-9416a846ad94</t>
  </si>
  <si>
    <t>f67e9b09-874f-4156-9148-69c3b8df8086</t>
  </si>
  <si>
    <t>14a0935a-8752-4e3f-81ac-1ef16c0076a5</t>
  </si>
  <si>
    <t>8363f360-12ca-4a7f-be94-6c2a3400377c</t>
  </si>
  <si>
    <t>85da3732-301a-472e-9c00-33acc63f7ea3</t>
  </si>
  <si>
    <t>380c4203-28d3-49be-99ba-d7698d76b208</t>
  </si>
  <si>
    <t>2fd63a97-bb75-4334-901e-47ba52f823f0</t>
  </si>
  <si>
    <t>df7796cc-ff83-46d1-826a-4ea58e2b16de</t>
  </si>
  <si>
    <t>9414ee3a-ec88-448e-9b55-dfea1546d178</t>
  </si>
  <si>
    <t>99348ad7-6617-49e7-8187-912e883953a8</t>
  </si>
  <si>
    <t>c9a85e67-a6cc-4ed7-8f65-b9a3905c7207</t>
  </si>
  <si>
    <t>27e37d2a-f458-4962-b46f-18aa9f66cae9</t>
  </si>
  <si>
    <t>767ed6a1-50a8-412e-8bf3-da64ec66423c</t>
  </si>
  <si>
    <t>4e8000fd-cdb5-41db-b330-ea47de0c85a7</t>
  </si>
  <si>
    <t>770817d5-9a25-4c02-93ff-5e5d4536f82e</t>
  </si>
  <si>
    <t>97441968-3762-4d70-8de9-0d1c12e57a2e</t>
  </si>
  <si>
    <t>4f849b05-59e6-4d09-8b12-4b6c29b5faf5</t>
  </si>
  <si>
    <t>1ff90967-395e-40b9-8b1e-3cc6e4988cff</t>
  </si>
  <si>
    <t>a1289896-d371-4a4e-90aa-293d644c7f90</t>
  </si>
  <si>
    <t>24162b23-be58-4d4c-845c-318eed7768f6</t>
  </si>
  <si>
    <t>0871276d-ec28-47f1-8609-a7aef0dce1ce</t>
  </si>
  <si>
    <t>63efe1e1-5c5f-4e0f-83b8-cba0a90cdc5b</t>
  </si>
  <si>
    <t>9a25a15e-22e6-41ef-8973-4d165113b6fb</t>
  </si>
  <si>
    <t>54b3f793-9f62-4b44-ae90-aabd1c3a4f93</t>
  </si>
  <si>
    <t>Tabel 7 2025: Natural stone slab, flexible, facade (40 mm)</t>
  </si>
  <si>
    <t>4ccf893d-5d61-45b5-9a38-d82cc7b0ffcb</t>
  </si>
  <si>
    <t>Tabel 7 2025: Natural stone slab, flexible, indoor usage, thickness 20 mm</t>
  </si>
  <si>
    <t>b8e4a457-e9d5-45fa-a81a-3f3bdd5ae44b</t>
  </si>
  <si>
    <t>Tabel 7 2025: Natural stone slab, rigid, facade (30 mm)</t>
  </si>
  <si>
    <t>5fc5549e-63f3-474d-ad5d-2c2d1c1749db</t>
  </si>
  <si>
    <t>Tabel 7 2025: Natural stone slab, rigid, indoor usage (20 mm)</t>
  </si>
  <si>
    <t>f01007dc-d5ac-47a6-9ee8-47c0758f252f</t>
  </si>
  <si>
    <t>Tabel 7 2025: Natural stone slab, rigid, outdoor usage, thickness 80 mm</t>
  </si>
  <si>
    <t>0658e178-7b8e-413b-9b4f-e80a656aaf27</t>
  </si>
  <si>
    <t>Tabel 7 2025: Damp insulation, fence strenghtened PET</t>
  </si>
  <si>
    <t>346e574f-e4c1-481c-bbe0-995fd831aa67</t>
  </si>
  <si>
    <t>Tabel 7 2025: Nylon part (PA 6.6)</t>
  </si>
  <si>
    <t>5417e977-03d3-4315-b1ef-25ca54f7632e</t>
  </si>
  <si>
    <t>Tabel 7 2025: Oriented Strand Board (German average)</t>
  </si>
  <si>
    <t>c421c9c0-66fd-46f7-854a-2e1c2d57b211</t>
  </si>
  <si>
    <t>Tabel 7 2025: Oil low temperature boiler 120-400 kW (upright unit)</t>
  </si>
  <si>
    <t>9952c163-e902-43b8-9dc0-9064f0cae6f1</t>
  </si>
  <si>
    <t>Tabel 7 2025: Oil low temperature boiler 20-120 kW (upright unit)</t>
  </si>
  <si>
    <t>55f61d2a-c68d-4f53-8e34-cb8fc42a3567</t>
  </si>
  <si>
    <t>Tabel 7 2025: Oil low temperature boiler &lt; 20 kW (upright unit)</t>
  </si>
  <si>
    <t>80cf7de4-d33b-497b-aa7d-3629cff3cd2e</t>
  </si>
  <si>
    <t>da8803d7-01fa-4552-8377-ea8208fd2a59</t>
  </si>
  <si>
    <t>52fe6971-fb86-4284-abff-1cb8973d9bc4</t>
  </si>
  <si>
    <t>2491134f-c22e-4aef-b15a-bae55f643c0b</t>
  </si>
  <si>
    <t>Tabel 7 2025: VELUX PUR roof windows (double glazing configuration)</t>
  </si>
  <si>
    <t>4feab0ae-012a-4c47-a7db-786a65b493de</t>
  </si>
  <si>
    <t>Tabel 7 2025: Anodization of aluminium</t>
  </si>
  <si>
    <t>d31a6699-b4be-4cee-a469-764490420a42</t>
  </si>
  <si>
    <t>Tabel 7 2025: Application coating, silicate dispersion paint</t>
  </si>
  <si>
    <t>0cd2a490-a2d8-406b-a23e-140fa6c69c03</t>
  </si>
  <si>
    <t>Tabel 7 2025: Applicationpaint emulsion, dispersion paint</t>
  </si>
  <si>
    <t>b0ff5d90-4712-4b1c-b207-3c28e69c7f6e</t>
  </si>
  <si>
    <t>Tabel 7 2025: Application primer emulsion, dispersion paint</t>
  </si>
  <si>
    <t>224e5e27-6480-4ad6-82e3-b4178164d450</t>
  </si>
  <si>
    <t>Tabel 7 2025: Application primer emulsion, silicate dispersion paint</t>
  </si>
  <si>
    <t>3f070ef6-19e1-4175-96b9-668a15cd8b08</t>
  </si>
  <si>
    <t>Tabel 7 2025: Application coating silicone paint</t>
  </si>
  <si>
    <t>5cf77daa-a292-4fe7-84be-40bd64edadac</t>
  </si>
  <si>
    <t>Tabel 7 2025: Application paint emulsion, interior, wear resistant</t>
  </si>
  <si>
    <t>bc168ed1-34e1-4c38-a9af-378fdd05dc1f</t>
  </si>
  <si>
    <t>Tabel 7 2025: Lime colour</t>
  </si>
  <si>
    <t>fed7923e-2a4f-45a5-8504-b536f7c5ca6e</t>
  </si>
  <si>
    <t>Tabel 7 2025: Application top coat on metals (solvent based)</t>
  </si>
  <si>
    <t>7eb95a56-991e-4960-a9cf-c562f09c0c9d</t>
  </si>
  <si>
    <t>Tabel 7 2025: Application top coat on metals (water based)</t>
  </si>
  <si>
    <t>d3c7d9a8-23f7-44e0-8cf0-8355153c7207</t>
  </si>
  <si>
    <t>Tabel 7 2025: Solvent based lacquer, white</t>
  </si>
  <si>
    <t>af3933d4-548e-44e7-8d21-55098bad3fa6</t>
  </si>
  <si>
    <t>Tabel 7 2025: Parquet primer, water diluted</t>
  </si>
  <si>
    <t>23017d47-f291-4bb4-a103-891ec9be0f99</t>
  </si>
  <si>
    <t>Tabel 7 2025: Parquet top-coating transparent</t>
  </si>
  <si>
    <t>b2ce0770-587e-4163-91c1-2d4190fec8f0</t>
  </si>
  <si>
    <t>Tabel 7 2025: Application top coat powder</t>
  </si>
  <si>
    <t>822ad4e1-2369-433d-b660-bdb2459b8676</t>
  </si>
  <si>
    <t>Tabel 7 2025: Powder coating (outdoor use, white)</t>
  </si>
  <si>
    <t>8df7dd55-6b9c-4013-82fd-e31c66ab297d</t>
  </si>
  <si>
    <t>Tabel 7 2025: Application top coating water based (facade)</t>
  </si>
  <si>
    <t>9936ad7e-7995-46e0-8c80-ff97a8993cda</t>
  </si>
  <si>
    <t>Tabel 7 2025: Water based lacquer, white</t>
  </si>
  <si>
    <t>3e457995-5687-4f80-abd1-c255f560b1c0</t>
  </si>
  <si>
    <t>Tabel 7 2025: Application top-coating water based (windows, white)</t>
  </si>
  <si>
    <t>9b4a6f81-7521-4ecb-b4f7-3a6310a8874d</t>
  </si>
  <si>
    <t>Tabel 7 2025: Application intermediate coating water based (windows, white)</t>
  </si>
  <si>
    <t>8c42d960-43f5-4f4f-8d3c-d3b8755ff9ec</t>
  </si>
  <si>
    <t>Tabel 7 2025: Application coating water based glaze (facade)</t>
  </si>
  <si>
    <t>ac23d500-9749-4cde-9510-018b1e1fe9b8</t>
  </si>
  <si>
    <t>Tabel 7 2025: Application primer water based (windows, white)</t>
  </si>
  <si>
    <t>d278d638-6032-4a8b-9c3d-b46c36762f6d</t>
  </si>
  <si>
    <t>13152ba5-12fe-40da-9af3-1399f1daec8e</t>
  </si>
  <si>
    <t>b3eed364-5c82-4eaf-b364-4907e0d6a7e6</t>
  </si>
  <si>
    <t>6b4dc368-53d8-4e1b-b449-1aa7fb14b542</t>
  </si>
  <si>
    <t>8574e32b-e88e-4347-81c1-2f58631f880e</t>
  </si>
  <si>
    <t>701fc573-190a-4fcd-a44e-3ef91ea511c0</t>
  </si>
  <si>
    <t>fbc21b15-91c1-4b99-ab6c-fbc7654016a7</t>
  </si>
  <si>
    <t>faeaf612-eade-4488-86fe-8a7af75b13cf</t>
  </si>
  <si>
    <t>Tabel 7 2025: PIR high-density foam</t>
  </si>
  <si>
    <t>e908d6a6-e62c-4ba6-9b37-425293a1392b</t>
  </si>
  <si>
    <t>bcea6f2a-b247-4d60-82ff-9a99b65965e9</t>
  </si>
  <si>
    <t>Tabel 7 2025: PUR sealing compound</t>
  </si>
  <si>
    <t>6ae09080-9f03-4e81-8be1-8409289bcc89</t>
  </si>
  <si>
    <t>Tabel 7 2025: Underroof membrane PUR on PET fleece</t>
  </si>
  <si>
    <t>9d151e6e-160d-4089-bf32-376a1fd3982a</t>
  </si>
  <si>
    <t>Tabel 7 2025: PVC floor covering</t>
  </si>
  <si>
    <t>2e694b6a-332f-4104-bb04-fe1c28102dfd</t>
  </si>
  <si>
    <t>Tabel 7 2025: PVC Plastisol</t>
  </si>
  <si>
    <t>60c3b1ce-d60a-4599-88fa-691b2a92a478</t>
  </si>
  <si>
    <t>da4a81e3-cdc5-428b-91ca-25aaed5c01a9</t>
  </si>
  <si>
    <t>Tabel 7 2025: Cellulose fibre board</t>
  </si>
  <si>
    <t>90c4df7f-f139-4640-a645-11d3a43ef07c</t>
  </si>
  <si>
    <t>Tabel 7 2025: Multi layer parquet (generic)</t>
  </si>
  <si>
    <t>628d8ff8-bf39-4e90-aa75-06db8009fe5b</t>
  </si>
  <si>
    <t>Tabel 7 2025: Pellet boiler &lt; 20 kW</t>
  </si>
  <si>
    <t>03faf709-dd79-419f-90cb-cd2581910e7d</t>
  </si>
  <si>
    <t>Tabel 7 2025: Perlites 0-1</t>
  </si>
  <si>
    <t>96b5bf91-b294-4805-9005-cd0b7c4b0133</t>
  </si>
  <si>
    <t>Tabel 7 2025: Perlites 0-3</t>
  </si>
  <si>
    <t>4cbf5a9a-57bd-49cd-9620-c782a17367bf</t>
  </si>
  <si>
    <t>8d910423-ad8d-4fdf-a977-7d651fb85474</t>
  </si>
  <si>
    <t>Tabel 7 2025: Pellet boiler 20-120 kW</t>
  </si>
  <si>
    <t>a7cdae19-4611-4c94-87bc-cae3f7dc62ed</t>
  </si>
  <si>
    <t>Tabel 7 2025: Pumice stone (SFK-4)</t>
  </si>
  <si>
    <t>eb92e8dc-7f4a-465c-8738-ab0db9c2c4ef</t>
  </si>
  <si>
    <t>Tabel 7 2025: Pumice sand</t>
  </si>
  <si>
    <t>4ef57c58-db56-4fe4-a059-77f195fcfec6</t>
  </si>
  <si>
    <t>Tabel 7 2025: Pumice gravel</t>
  </si>
  <si>
    <t>c6f7ada9-3332-49a4-86f6-ffc91ce3a414</t>
  </si>
  <si>
    <t>Tabel 7 2025: Plastic profile CR (chloroprene-rubber)</t>
  </si>
  <si>
    <t>ec617b8b-f7a0-4c5f-8e35-614171c79279</t>
  </si>
  <si>
    <t>Tabel 7 2025: Plastic profile SBR</t>
  </si>
  <si>
    <t>2ac976ac-99b2-4b70-9da2-07fe00dcd327</t>
  </si>
  <si>
    <t>Tabel 7 2025: Transparent board PC</t>
  </si>
  <si>
    <t>bc52ce9e-c786-4f30-9b00-b588fd94f69d</t>
  </si>
  <si>
    <t>Tabel 7 2025: Transparent board PMMA, extruded</t>
  </si>
  <si>
    <t>0223ef77-852e-4a21-91fb-fea8ba27d06a</t>
  </si>
  <si>
    <t>Tabel 7 2025: Transparent board PMMA, cast</t>
  </si>
  <si>
    <t>b182445c-a973-45eb-b68b-5fba7a9e6243</t>
  </si>
  <si>
    <t>Tabel 7 2025: Transparent board PVC</t>
  </si>
  <si>
    <t>e5b2199c-e0b0-4efe-8e09-bd25f24af185</t>
  </si>
  <si>
    <t>Tabel 7 2025: Plastic profile silicone</t>
  </si>
  <si>
    <t>3ae9f50c-d7be-42e1-81e6-58d2388c125c</t>
  </si>
  <si>
    <t>f0abd06c-3231-4d62-86ae-c1c4bf88f645</t>
  </si>
  <si>
    <t>a29d54c3-ee6f-4098-a436-f7ac26677edb</t>
  </si>
  <si>
    <t>Tabel 7 2025: Polybutadiene pipe</t>
  </si>
  <si>
    <t>f97ffcba-2aa5-44e7-bb1d-0984ae4fa2c8</t>
  </si>
  <si>
    <t>Tabel 7 2025: Polycarbonate slab</t>
  </si>
  <si>
    <t>80b90fb0-cce4-41d1-9b23-4b774643164d</t>
  </si>
  <si>
    <t>Tabel 7 2025: Polyethylene foam</t>
  </si>
  <si>
    <t>fc738fef-1713-4ec5-a232-14f5ea47ca14</t>
  </si>
  <si>
    <t>Tabel 7 2025: Polystyrene foam filling (cement bound)</t>
  </si>
  <si>
    <t>a23c0546-a56f-456c-9f49-508d9d3ec013</t>
  </si>
  <si>
    <t>Tabel 7 2025: Polystyrene foam filling (without binder)</t>
  </si>
  <si>
    <t>70d0bbbe-7601-4761-99f5-1a730ce303bb</t>
  </si>
  <si>
    <t>Tabel 7 2025: Polyurethane rigid foam (pipe insulation)</t>
  </si>
  <si>
    <t>a00136b9-4788-4af7-ad5c-fa734ce07903</t>
  </si>
  <si>
    <t>03456e47-92ae-4816-ba13-6481b20b9db3</t>
  </si>
  <si>
    <t>Tabel 7 2025: Aerated concrete P4 05 non-reinforced</t>
  </si>
  <si>
    <t>73fb8dba-8942-4e2f-b1e9-74c988db0682</t>
  </si>
  <si>
    <t>Tabel 7 2025: Aerated concrete P4 05 reinforced</t>
  </si>
  <si>
    <t>cfa4c902-fcd4-4351-bf02-5d7b4792278e</t>
  </si>
  <si>
    <t>Tabel 7 2025: Aerated concrete granulate</t>
  </si>
  <si>
    <t>8c682a8a-82ed-49ac-92ac-5375b90bf392</t>
  </si>
  <si>
    <t>d3b79c01-d4b0-4bf3-8fe4-a3fd849bba53</t>
  </si>
  <si>
    <t>71f02bcc-b812-49de-86e3-543bc9df0d37</t>
  </si>
  <si>
    <t>Tabel 7 2025: Propane (R290)</t>
  </si>
  <si>
    <t>b2162507-0f3e-426b-aa56-ebd8c8a3eca0</t>
  </si>
  <si>
    <t>Tabel 7 2025: Gypsum lime plaster</t>
  </si>
  <si>
    <t>eb982034-7611-4a8d-8322-5279a2ddf5f7</t>
  </si>
  <si>
    <t>Tabel 7 2025: Gypsum interior plaster</t>
  </si>
  <si>
    <t>558f7c52-5588-4f52-8e80-628019173d07</t>
  </si>
  <si>
    <t>Tabel 7 2025: Lime gypsum interior plaster</t>
  </si>
  <si>
    <t>e45362e9-09fa-46d5-a956-5f5858123ac6</t>
  </si>
  <si>
    <t>Tabel 7 2025: Synthtic resin plaster</t>
  </si>
  <si>
    <t>cd16069b-590c-4ad9-a2a3-ab5933def09a</t>
  </si>
  <si>
    <t>3ca8d81f-0b4e-4be8-b2af-3f4d9c6aaa46</t>
  </si>
  <si>
    <t>Tabel 7 2025: Radiator</t>
  </si>
  <si>
    <t>e6dca4e4-f6d3-4553-b9a9-6ce92178eaca</t>
  </si>
  <si>
    <t>Tabel 7 2025: Rain drain pipe SML</t>
  </si>
  <si>
    <t>23a3d605-24a4-42cf-91c5-f0c12728f673</t>
  </si>
  <si>
    <t>Tabel 7 2025: Rectangular ventilation ducts with dimensions 400x300</t>
  </si>
  <si>
    <t>6657703e-b860-4d97-85b8-844b3ecb63cc</t>
  </si>
  <si>
    <t>Tabel 7 2025: Insulated glazing, double pane</t>
  </si>
  <si>
    <t>cf690bc5-e5e5-45d8-abf3-325389cff75a</t>
  </si>
  <si>
    <t>Tabel 7 2025: Insulated glazing, triple pane</t>
  </si>
  <si>
    <t>65046db4-321b-42f2-bc7b-0114ce520515</t>
  </si>
  <si>
    <t>Tabel 7 2025: Rolling shutter (plastics)</t>
  </si>
  <si>
    <t>3d8ae33c-04df-4792-9be7-fc16dd48463c</t>
  </si>
  <si>
    <t>Tabel 7 2025: Escalator basic component (independent of lifting height)</t>
  </si>
  <si>
    <t>602b39fe-3cc4-4e70-b4de-20bfc828ff83</t>
  </si>
  <si>
    <t>Tabel 7 2025: Escalator basic component (dependent on lifting height)</t>
  </si>
  <si>
    <t>5d72e2ad-d7cf-44f7-b9f2-7498f4e4bc85</t>
  </si>
  <si>
    <t>Tabel 7 2025: Pipework for electric heat pump (brine-water, geothermal collector) 10 kW</t>
  </si>
  <si>
    <t>a29a95b0-5752-4cba-abe4-d840e1b8ea5a</t>
  </si>
  <si>
    <t>Tabel 7 2025: Pipework for electric heat pump (brine-water, geothermal collector) 20 kW</t>
  </si>
  <si>
    <t>ce852235-b89d-404a-886b-2dbc92486121</t>
  </si>
  <si>
    <t>Tabel 7 2025: Pipework for electric heat pump (brine-water, geothermal collector) 70 kW</t>
  </si>
  <si>
    <t>bc717954-8b00-4bec-89ee-fac0cea9ef96</t>
  </si>
  <si>
    <t>Tabel 7 2025: Pipework for electric heat pump (brine-water, geothermal probe) 10 kW</t>
  </si>
  <si>
    <t>c2f402bf-0e8a-407b-993b-3d669de472fd</t>
  </si>
  <si>
    <t>Tabel 7 2025: Pipework for electric heat pump (brine-water, geothermal probe) 20 kW</t>
  </si>
  <si>
    <t>f84e2eae-c860-4ac6-8340-7b84a3f86187</t>
  </si>
  <si>
    <t>Tabel 7 2025: Pipework for electric heat pump (brine-water, geothermal probe) 70 kW</t>
  </si>
  <si>
    <t>d516bf31-c981-4358-87f6-82451157e6a0</t>
  </si>
  <si>
    <t>Tabel 7 2025: Pipework for electric heat pump (water-water) 10 kW</t>
  </si>
  <si>
    <t>cffbdf09-bdc6-401f-8ef3-f138c79235c7</t>
  </si>
  <si>
    <t>Tabel 7 2025: Pipework for electric heat pump (water-water) 20 kW</t>
  </si>
  <si>
    <t>04ea246a-c6dc-4c06-826e-c4bfeee1db84</t>
  </si>
  <si>
    <t>Tabel 7 2025: Pipework for electric heat pump (water-water) 70 kW</t>
  </si>
  <si>
    <t>9d0a2bad-0863-4844-98cc-5262b015b599</t>
  </si>
  <si>
    <t>Tabel 7 2025: Sewer pipe ABS</t>
  </si>
  <si>
    <t>6687bb0a-eb5a-4bbd-b7ae-685275ba4318</t>
  </si>
  <si>
    <t>Tabel 7 2025: Sewer pipe PVC</t>
  </si>
  <si>
    <t>6ce2cd90-d28e-45dc-aa5f-d2b4ad3c306e</t>
  </si>
  <si>
    <t>Tabel 7 2025: Sewer pipe PP</t>
  </si>
  <si>
    <t>20232bf9-0430-4b6a-a6f2-a35e9fb684a2</t>
  </si>
  <si>
    <t>a5587b9d-3550-419f-a4e0-2a734a055f3e</t>
  </si>
  <si>
    <t>Tabel 7 2025: Rain drain pipe PVC</t>
  </si>
  <si>
    <t>775b4f5d-cb52-434c-8c71-94b10a9712c4</t>
  </si>
  <si>
    <t>Tabel 7 2025: Polypropylene pipe</t>
  </si>
  <si>
    <t>e35d5074-ce12-4502-8d10-0525d0fa08d8</t>
  </si>
  <si>
    <t>Tabel 7 2025: Red brass part</t>
  </si>
  <si>
    <t>36ff7289-efef-4007-9e53-cc52b3155eb3</t>
  </si>
  <si>
    <t>Tabel 7 2025: Sand 0/2</t>
  </si>
  <si>
    <t>6f8eac64-f10d-481b-81f7-e8336cdcb553</t>
  </si>
  <si>
    <t>Tabel 7 2025: Sand 0/2 (dried)</t>
  </si>
  <si>
    <t>0b8752d5-d4f0-48d0-976f-e4e047f8848c</t>
  </si>
  <si>
    <t>Tabel 7 2025: Crushed stone 0/2 (dried)</t>
  </si>
  <si>
    <t>67764874-9fd2-4e42-a6e3-246a035b2e07</t>
  </si>
  <si>
    <t>815112b6-b7c2-42ce-8081-3c5100ff2d2b</t>
  </si>
  <si>
    <t>3038b01e-7cf0-4731-a087-8a204cf48fe0</t>
  </si>
  <si>
    <t>e726c4fe-d4a8-4871-af4a-f00872ee3a78</t>
  </si>
  <si>
    <t>Tabel 7 2025: Sanitary ceramic</t>
  </si>
  <si>
    <t>dafdb594-925d-49a8-92f1-d1794aa36887</t>
  </si>
  <si>
    <t>cae1b2b6-ef1a-4116-a4d2-e78c019cdcf6</t>
  </si>
  <si>
    <t>9cdb05a4-ad35-4872-a190-8bb08d823d6c</t>
  </si>
  <si>
    <t>Tabel 7 2025: Crushed stone 2/15</t>
  </si>
  <si>
    <t>bcbad4a0-78ba-45b6-b513-8f5b169f0dcf</t>
  </si>
  <si>
    <t>Tabel 7 2025: Roof slate</t>
  </si>
  <si>
    <t>3ce40d79-b6c6-4367-83c2-fdf135794f70</t>
  </si>
  <si>
    <t>Tabel 7 2025: Brick chimney single-duct</t>
  </si>
  <si>
    <t>f67a8cb2-25b2-4008-8532-2be625886ec3</t>
  </si>
  <si>
    <t>Tabel 7 2025: Brick chimney double-duct</t>
  </si>
  <si>
    <t>e3c60baf-a4a3-4b2e-b9c3-ad6fae108c3f</t>
  </si>
  <si>
    <t>Tabel 7 2025: Chimney stainless steel (single wall)</t>
  </si>
  <si>
    <t>8b759b0c-1987-4033-adf4-aff57cf51525</t>
  </si>
  <si>
    <t>Tabel 7 2025: Chimney polypropylene (PP)</t>
  </si>
  <si>
    <t>77b61f93-aa51-4829-888c-e01082a5e761</t>
  </si>
  <si>
    <t>Tabel 7 2025: Stone mastic asphalt (SMA)</t>
  </si>
  <si>
    <t>609efb27-b0c5-4b86-9398-7d28a5e9379f</t>
  </si>
  <si>
    <t>Tabel 7 2025: Crushed stone 16/32</t>
  </si>
  <si>
    <t>fb06f01b-1841-44c6-81ba-fe917e363422</t>
  </si>
  <si>
    <t>Tabel 7 2025: Granulated slag brick</t>
  </si>
  <si>
    <t>fed06ce5-9c9e-4df6-ab84-e077cf876943</t>
  </si>
  <si>
    <t>06525943-e6b9-46ce-b514-4f37c3068776</t>
  </si>
  <si>
    <t>Tabel 7 2025: Slag-tap granulate</t>
  </si>
  <si>
    <t>e79733f6-1a55-42ee-8aa3-ef34139d42a0</t>
  </si>
  <si>
    <t>Tabel 7 2025: Sun protection (textile)</t>
  </si>
  <si>
    <t>61d5b2d2-8329-4405-b0c4-9d77fb790764</t>
  </si>
  <si>
    <t>560f7f5b-ba95-48de-842a-b87dd9710a98</t>
  </si>
  <si>
    <t>b87456e8-f085-45ae-89d7-82e14aaa0e6c</t>
  </si>
  <si>
    <t>fac7e5b1-d2f3-4976-9ef2-db28a0364dfe</t>
  </si>
  <si>
    <t>1fe11ca2-1bcf-4c15-a734-0c770ea21c5e</t>
  </si>
  <si>
    <t>Tabel 7 2025: Flat solar collector</t>
  </si>
  <si>
    <t>3a99b802-5b08-4b6f-80c9-57a72f1fc1b5</t>
  </si>
  <si>
    <t>Tabel 7 2025: Vacuum solar tube</t>
  </si>
  <si>
    <t>29b31301-0a42-4994-aa85-822b1fc2405a</t>
  </si>
  <si>
    <t>Tabel 7 2025: Chipboard (generic)</t>
  </si>
  <si>
    <t>0952bd89-5ade-438e-97ad-01a0b9c16ef7</t>
  </si>
  <si>
    <t>Tabel 7 2025: Particle board - melamine coated (German average)</t>
  </si>
  <si>
    <t>21752b78-178a-4954-92c7-45b2afe553e7</t>
  </si>
  <si>
    <t>Tabel 7 2025: Crushed stone 0/2</t>
  </si>
  <si>
    <t>fe9d0c8d-7b96-4a57-acaf-8c825c5952ce</t>
  </si>
  <si>
    <t>Tabel 7 2025: Woodchip boiler 120 - 400 kW</t>
  </si>
  <si>
    <t>b1f5407f-778c-4e6b-bcff-067ebc393df1</t>
  </si>
  <si>
    <t>Tabel 7 2025: Woodchip boiler &lt; 20 kW</t>
  </si>
  <si>
    <t>f02caf59-fe47-4765-8ceb-2c061407690b</t>
  </si>
  <si>
    <t>Tabel 7 2025: Woodchip boiler 20-120 kW</t>
  </si>
  <si>
    <t>305ef1ee-5a9b-4b73-906f-73f54c83b84e</t>
  </si>
  <si>
    <t>594f848c-a620-405a-8a6e-f3bac0607496</t>
  </si>
  <si>
    <t>Tabel 7 2025: Steel forging part</t>
  </si>
  <si>
    <t>470fc8a8-2631-47de-aa2a-bb799809def6</t>
  </si>
  <si>
    <t>Tabel 7 2025: Hot dip galvanized steel sheet</t>
  </si>
  <si>
    <t>d88d1efc-06c7-4c51-88bd-a24a53e428ac</t>
  </si>
  <si>
    <t>4e26b2a7-5ee3-453a-b648-d94f1c0a23b1</t>
  </si>
  <si>
    <t>Tabel 7 2025: Steel sheet hot dip galvanized (2-20mm)</t>
  </si>
  <si>
    <t>58508915-bc93-44cb-9781-a4a93c012588</t>
  </si>
  <si>
    <t>Tabel 7 2025: Steel sheet (20µm hot dip galvanized)</t>
  </si>
  <si>
    <t>49b05d3e-61e8-4daa-a5e0-cd02ee3eb354</t>
  </si>
  <si>
    <t>Tabel 7 2025: Stainless steel sheet</t>
  </si>
  <si>
    <t>dec6600f-1f70-4f09-a033-4c9c5715bff4</t>
  </si>
  <si>
    <t>Tabel 7 2025: Steel pipe</t>
  </si>
  <si>
    <t>ea0e01a0-73cc-4777-806e-e572ccd58a39</t>
  </si>
  <si>
    <t>Tabel 7 2025: Mastic asphalt screed</t>
  </si>
  <si>
    <t>dccd800c-7fe1-4b1a-a5c1-862643cbc7b0</t>
  </si>
  <si>
    <t>d21e63dd-72e3-4b18-92fb-0a63190774c1</t>
  </si>
  <si>
    <t>81aa4cc3-b73c-49a9-97f0-15e16d169d20</t>
  </si>
  <si>
    <t>1d297956-8293-49f2-8ef8-d55158ba44e5</t>
  </si>
  <si>
    <t>225fb00c-5257-44c6-bf48-8ff8155facc9</t>
  </si>
  <si>
    <t>Tabel 7 2025: EPDM roof sheets</t>
  </si>
  <si>
    <t>e7870088-f8d1-45a0-9c4a-777b38bb9047</t>
  </si>
  <si>
    <t>Tabel 7 2025: PVC roofing membrane</t>
  </si>
  <si>
    <t>d7993d6c-949f-4f57-9289-c1529123157e</t>
  </si>
  <si>
    <t>Tabel 7 2025: Bitumen sheets PYE-PV 200 S5 ns (slated)</t>
  </si>
  <si>
    <t>22200028-93dc-4e36-b0e2-f6c99ff32a68</t>
  </si>
  <si>
    <t>5a4650e5-19d3-4498-8900-e6da4fc48cfd</t>
  </si>
  <si>
    <t>322ea0b1-828a-46fe-b6f5-d7b3d4f7c506</t>
  </si>
  <si>
    <t>71ffa79f-8454-4ca5-b7c4-03395685a043</t>
  </si>
  <si>
    <t>a281b4f6-72f9-4cf6-8172-a1c789641fa9</t>
  </si>
  <si>
    <t>75a03cd1-0bc0-4a74-bf2c-76b58a506b42</t>
  </si>
  <si>
    <t>016c6095-8e2c-4f88-81f6-b5a54425ffbe</t>
  </si>
  <si>
    <t>817e7e87-b08d-4916-8e70-92d925a2b483</t>
  </si>
  <si>
    <t>c00792cb-23ae-4185-af9e-4082fd62f419</t>
  </si>
  <si>
    <t>3faf828e-72ab-4770-b530-f510ea1fff3e</t>
  </si>
  <si>
    <t>Tabel 7 2025: Polytetrafluoroethylene foil (PTFE)</t>
  </si>
  <si>
    <t>8a6bac41-11c2-449f-bc9e-a3e92b74f539</t>
  </si>
  <si>
    <t>a6e361d2-2b52-409a-a777-86057b05aebe</t>
  </si>
  <si>
    <t>83311da2-4192-4948-9d5e-ae5b64180f60</t>
  </si>
  <si>
    <t>5510b5de-e81b-49de-a830-d5a405635ea4</t>
  </si>
  <si>
    <t>Tabel 7 2025: Tetrafluoroethane (R134a)</t>
  </si>
  <si>
    <t>604766eb-20d9-4c45-92a6-0235a18f2a3c</t>
  </si>
  <si>
    <t>Tabel 7 2025: Tetrafluoropropene (R1234ze)</t>
  </si>
  <si>
    <t>c341f70a-f9ed-4dd6-832b-daaa35d42ffc</t>
  </si>
  <si>
    <t>Tabel 7 2025: Timber cedar (generic, 12% moisture / 10.7% H2O content)</t>
  </si>
  <si>
    <t>ee82e32d-d532-453f-9c16-d46400b144b2</t>
  </si>
  <si>
    <t>Tabel 7 2025: Timber oak (generic, 12% moisture / 10.7% H2O content)</t>
  </si>
  <si>
    <t>03ef2aa5-0868-4d7f-ad4d-6ae4eb2e66db</t>
  </si>
  <si>
    <t>Tabel 7 2025: Timber pine (generic, 12% moisture / 10.7% H2O content)</t>
  </si>
  <si>
    <t>986b4ce7-d311-44cd-aaf2-b6aa849c4737</t>
  </si>
  <si>
    <t>Tabel 7 2025: Timber spruce (generic, 12% moisture / 10.7% H2O content)</t>
  </si>
  <si>
    <t>74a2ee52-0de3-487d-afa7-d6fb28bfac18</t>
  </si>
  <si>
    <t>Tabel 7 2025: Timber larch (generic, 12% moisture / 10.7% H2O content)</t>
  </si>
  <si>
    <t>a4a6f089-e124-47a1-a3ef-592fad6672c2</t>
  </si>
  <si>
    <t>8dd57442-c5c2-4925-ae27-94d90313d36f</t>
  </si>
  <si>
    <t>Tabel 7 2025: Timber beech (generic, 12% moisture / 10.7% H2O content)</t>
  </si>
  <si>
    <t>76a4c343-5507-440b-9740-99581854a61e</t>
  </si>
  <si>
    <t>9b949ee8-bb5d-4d46-87d2-3d4f8561b288</t>
  </si>
  <si>
    <t>9b5310f8-c1e6-47d9-92bf-bc0fe9e5a0b2</t>
  </si>
  <si>
    <t>5ca952ec-48a4-420a-b7cb-e371297bab07</t>
  </si>
  <si>
    <t>Tabel 7 2025: Wood fibre board (wet process)</t>
  </si>
  <si>
    <t>9267b54f-1625-4f62-ba5f-713f32ae876a</t>
  </si>
  <si>
    <t>Tabel 7 2025: High density fibreboard (German average)</t>
  </si>
  <si>
    <t>37211034-4ebf-48f7-9cb9-f7384d2d7e80</t>
  </si>
  <si>
    <t>Tabel 7 2025: Medium density fibreboard (German average)</t>
  </si>
  <si>
    <t>d472eab0-16e2-4038-bb82-634a265f48ba</t>
  </si>
  <si>
    <t>1d00bb0b-743c-4861-8b11-2a7f7e9cb6b8</t>
  </si>
  <si>
    <t>9b1b617c-d680-41d8-8acb-e0b282cf392d</t>
  </si>
  <si>
    <t>18283941-bcf0-4e62-bff8-bb238bc36d6d</t>
  </si>
  <si>
    <t>Tabel 7 2025: Strip parquet (generic)</t>
  </si>
  <si>
    <t>fd1118fd-1dd5-4a62-9c61-94b1a6ccd78e</t>
  </si>
  <si>
    <t>bd584fc5-7345-43c4-8747-0f0150515dde</t>
  </si>
  <si>
    <t>1a088ae2-2f75-4aab-a4ba-c8b558346b2c</t>
  </si>
  <si>
    <t>51f9cf9f-2e3c-4916-a480-fcea2a90e6af</t>
  </si>
  <si>
    <t>22f7f9e0-5959-4b4f-93e4-1b1874f3bff8</t>
  </si>
  <si>
    <t>Tabel 7 2025: Underroof membrane PP</t>
  </si>
  <si>
    <t>80ac2705-1452-4b63-8583-db0f91767dc2</t>
  </si>
  <si>
    <t>Tabel 7 2025: Underroof membrane reinforced PE fabric</t>
  </si>
  <si>
    <t>7e9edc8b-5a7f-4a7d-b9cf-f090cc40f288</t>
  </si>
  <si>
    <t>Tabel 7 2025: Urea formaldehyde resin in-situ foam</t>
  </si>
  <si>
    <t>0837c4f3-bf7d-4ede-a77b-e6fbe7f1ee31</t>
  </si>
  <si>
    <t>Tabel 7 2025: Electric continuous flow heater (21 kW)</t>
  </si>
  <si>
    <t>91e0c9eb-edc7-487f-8065-370e958dd1f0</t>
  </si>
  <si>
    <t>Tabel 7 2025: Electric heat pump (air-water) 10 kW</t>
  </si>
  <si>
    <t>eed43064-45d7-4328-b538-c4ce846d91c6</t>
  </si>
  <si>
    <t>Tabel 7 2025: Electric heat pump (air-water) 14 kW</t>
  </si>
  <si>
    <t>412867d9-4b99-4566-a22e-d0063ab879a5</t>
  </si>
  <si>
    <t>Tabel 7 2025: Electric heat pump (air-water) 7 kW</t>
  </si>
  <si>
    <t>846ea2e2-582c-4eef-bce1-7576045d3099</t>
  </si>
  <si>
    <t>Tabel 7 2025: Electric heat pump (brine-water, geothermal collector) 20 kW</t>
  </si>
  <si>
    <t>e5a42c2d-3314-43d5-b4ca-23a04416b23b</t>
  </si>
  <si>
    <t>Tabel 7 2025: Electric heat pump (brine-water, geothermal collector) 70 kW</t>
  </si>
  <si>
    <t>065a4af5-fe2e-4df3-ac15-6de25a6acfdc</t>
  </si>
  <si>
    <t>Tabel 7 2025: Electric heat pump (brine-water, geothermal probe) 10 kW</t>
  </si>
  <si>
    <t>4c6a6ce0-8c78-421c-b713-8867f31f93db</t>
  </si>
  <si>
    <t>Tabel 7 2025: Electric heat pump (brine-water, geothermal probe) 70 kW</t>
  </si>
  <si>
    <t>db673cdf-924a-47a0-bdc7-134418b3a1b5</t>
  </si>
  <si>
    <t>Tabel 7 2025: Electric heat pump (water-water) 10 kW</t>
  </si>
  <si>
    <t>5974192e-a7e2-4107-86e7-5a131fa9f426</t>
  </si>
  <si>
    <t>Tabel 7 2025: Electric heat pump (water-water) 20 kW</t>
  </si>
  <si>
    <t>d0a5316e-6d33-45a2-a27d-0701ec346ea8</t>
  </si>
  <si>
    <t>Tabel 7 2025: Electric heat pump (water-water) 70 kW</t>
  </si>
  <si>
    <t>1d37f8a6-3efc-4ad4-969b-6503b781734a</t>
  </si>
  <si>
    <t>Tabel 7 2025: Large AHU’s with airflow 15,000 m3/hr</t>
  </si>
  <si>
    <t>1b7e9318-e17d-43f4-82a8-5010edddbf9d</t>
  </si>
  <si>
    <t>Tabel 7 2025: Small AHU’s with airflow 3000 m3/hr</t>
  </si>
  <si>
    <t>630e3b31-b94f-4659-aa90-983a6978074b</t>
  </si>
  <si>
    <t>Tabel 7 2025: Ventilation decentralized (wall, ceiling) 60 m3/h</t>
  </si>
  <si>
    <t>1413ed2e-3351-4ed7-bb33-22fb805f3a94</t>
  </si>
  <si>
    <t>Tabel 7 2025: Window fitting for double sash window</t>
  </si>
  <si>
    <t>b9c5a7b6-c74a-416a-8ebb-4888a8a7e64f</t>
  </si>
  <si>
    <t>Tabel 7 2025: Window handle</t>
  </si>
  <si>
    <t>3a83cd9e-4387-4907-a8cd-5dbb3992bf3b</t>
  </si>
  <si>
    <t>Tabel 7 2025: Aluminium frame section, thermally separated, powder coated</t>
  </si>
  <si>
    <t>2af6a6fd-9fcd-4f05-a455-5d8275033238</t>
  </si>
  <si>
    <t>Tabel 7 2025: Window frame PVC-U</t>
  </si>
  <si>
    <t>22b952b4-5dc5-480f-b2b4-64ccb1b217a4</t>
  </si>
  <si>
    <t>Tabel 7 2025: Window frame (spruce)</t>
  </si>
  <si>
    <t>a1de65bc-30d3-45fd-8a7d-cda6042e3eea</t>
  </si>
  <si>
    <t>Tabel 7 2025: Aluminium frame profile, powder coated</t>
  </si>
  <si>
    <t>e945c821-3bbc-4a98-bb6c-909335fed1d3</t>
  </si>
  <si>
    <t>Tabel 7 2025: Aluminium casement frame section, thermally separated, powder coated</t>
  </si>
  <si>
    <t>9957d83a-8561-4458-8d93-9a76edca9279</t>
  </si>
  <si>
    <t>Tabel 7 2025: Window sash PVC-U</t>
  </si>
  <si>
    <t>4f45a681-0162-4f7b-b206-dbfcabedeedd</t>
  </si>
  <si>
    <t>Tabel 7 2025: Aluminium wing sash profile, powder coated</t>
  </si>
  <si>
    <t>f681db0e-fc94-450d-ae6d-641d00623f20</t>
  </si>
  <si>
    <t>Tabel 7 2025: Window sash (spruce)</t>
  </si>
  <si>
    <t>d964d601-08b1-4780-a684-8d2c1ecc3ff4</t>
  </si>
  <si>
    <t>24613803-8811-4315-adc2-62d8257a7ee2</t>
  </si>
  <si>
    <t>e3d48459-c04c-4dac-b1d9-89025b92a271</t>
  </si>
  <si>
    <t>d74337cc-1b00-47eb-b68c-cd1c6352d697</t>
  </si>
  <si>
    <t>Tabel 7 2025: NedZink Naturel</t>
  </si>
  <si>
    <t>701c3e51-0e23-4cf9-8c32-10a77c215f01</t>
  </si>
  <si>
    <t>UUID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</si>
</sst>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6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0" fontId="4" fillId="0" borderId="0"/>
    <xf numFmtId="0" fontId="5" fillId="0" borderId="0"/>
  </cellStyleXfs>
  <cellXfs count="22">
    <xf numFmtId="0" fontId="0" fillId="0" borderId="0" xfId="0"/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2" fillId="4" borderId="3" xfId="0" applyFont="1" applyFill="1" applyBorder="1" applyAlignment="1">
      <alignment vertical="center" wrapText="1"/>
    </xf>
    <xf numFmtId="0" fontId="2" fillId="5" borderId="3" xfId="0" applyFont="1" applyFill="1" applyBorder="1" applyAlignment="1">
      <alignment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vertical="center" wrapText="1"/>
    </xf>
    <xf numFmtId="0" fontId="3" fillId="0" borderId="6" xfId="1" applyBorder="1"/>
    <xf numFmtId="2" fontId="0" fillId="0" borderId="1" xfId="0" applyNumberFormat="1" applyBorder="1"/>
    <xf numFmtId="164" fontId="0" fillId="0" borderId="1" xfId="0" applyNumberFormat="1" applyBorder="1"/>
    <xf numFmtId="1" fontId="0" fillId="0" borderId="1" xfId="0" applyNumberFormat="1" applyBorder="1"/>
    <xf numFmtId="165" fontId="0" fillId="0" borderId="1" xfId="0" applyNumberFormat="1" applyBorder="1"/>
    <xf numFmtId="0" fontId="3" fillId="0" borderId="6" xfId="1" applyFill="1" applyBorder="1"/>
    <xf numFmtId="0" fontId="5" fillId="0" borderId="0" xfId="3"/>
  </cellXfs>
  <cellStyles count="4">
    <cellStyle name="Hyperlink" xfId="1" builtinId="8"/>
    <cellStyle name="Normal" xfId="0" builtinId="0"/>
    <cellStyle name="Normal 2" xfId="3" xr:uid="{C0EE0C6C-0825-4921-B619-66C76425029D}"/>
    <cellStyle name="Normal 3" xfId="2" xr:uid="{00000000-0005-0000-0000-000002000000}"/>
  </cellStyles>
  <dxfs count="19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E2EFDA"/>
      <color rgb="FFFFF2CC"/>
      <color rgb="FFA5A5A5"/>
      <color rgb="FF5B9B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O508" totalsRowShown="0" headerRowDxfId="18" headerRowBorderDxfId="17" tableBorderDxfId="16" totalsRowBorderDxfId="15">
  <autoFilter ref="A1:O508" xr:uid="{00000000-0009-0000-0100-000001000000}"/>
  <sortState xmlns:xlrd2="http://schemas.microsoft.com/office/spreadsheetml/2017/richdata2" ref="A2:O508">
    <sortCondition ref="D1:D508"/>
  </sortState>
  <tableColumns count="15">
    <tableColumn id="1" xr3:uid="{00000000-0010-0000-0000-000001000000}" name="Sorterings ID" dataDxfId="14"/>
    <tableColumn id="2" xr3:uid="{00000000-0010-0000-0000-000002000000}" name="Data type" dataDxfId="13"/>
    <tableColumn id="3" xr3:uid="{00000000-0010-0000-0000-000003000000}" name="Navn DE/ENG" dataDxfId="12"/>
    <tableColumn id="4" xr3:uid="{00000000-0010-0000-0000-000004000000}" name="Navn DK" dataDxfId="11"/>
    <tableColumn id="15" xr3:uid="{B466BE83-BB0F-4ECB-AEF8-255CE656DA2E}" name="UUID" dataDxfId="10">
      <calculatedColumnFormula>VLOOKUP(Table1[[#This Row],[Navn DK]],product_nodes_new_id!A:C,3,FALSE)</calculatedColumnFormula>
    </tableColumn>
    <tableColumn id="5" xr3:uid="{00000000-0010-0000-0000-000005000000}" name="Global Opvarmning, modul A1-A3" dataDxfId="9"/>
    <tableColumn id="6" xr3:uid="{00000000-0010-0000-0000-000006000000}" name="Global Opvarmning, modul C3" dataDxfId="8"/>
    <tableColumn id="7" xr3:uid="{00000000-0010-0000-0000-000007000000}" name="Global Opvarmning, modul C4" dataDxfId="7"/>
    <tableColumn id="8" xr3:uid="{00000000-0010-0000-0000-000008000000}" name="Global Opvarmning, modul D" dataDxfId="6"/>
    <tableColumn id="9" xr3:uid="{00000000-0010-0000-0000-000009000000}" name="Deklareret faktor (FU)" dataDxfId="5"/>
    <tableColumn id="10" xr3:uid="{00000000-0010-0000-0000-00000A000000}" name="Deklareret enhed (FU)" dataDxfId="4"/>
    <tableColumn id="11" xr3:uid="{00000000-0010-0000-0000-00000B000000}" name="Masse faktor" dataDxfId="3"/>
    <tableColumn id="12" xr3:uid="{00000000-0010-0000-0000-00000C000000}" name="Masse enhed" dataDxfId="2"/>
    <tableColumn id="13" xr3:uid="{00000000-0010-0000-0000-00000D000000}" name="Url (link)" dataDxfId="1"/>
    <tableColumn id="14" xr3:uid="{00000000-0010-0000-0000-00000E000000}" name="Kommentar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vbn.aau.dk/da/publications/udvikling-af-dansk-generisk-lca-data?" TargetMode="External"/><Relationship Id="rId13" Type="http://schemas.openxmlformats.org/officeDocument/2006/relationships/hyperlink" Target="https://vbn.aau.dk/da/publications/udvikling-af-dansk-generisk-lca-data?" TargetMode="External"/><Relationship Id="rId18" Type="http://schemas.openxmlformats.org/officeDocument/2006/relationships/hyperlink" Target="https://vbn.aau.dk/da/publications/udvikling-af-dansk-generisk-lca-data?" TargetMode="External"/><Relationship Id="rId3" Type="http://schemas.openxmlformats.org/officeDocument/2006/relationships/hyperlink" Target="https://www.epddanmark.dk/media/m2bfi4ei/md-22040-da.pdf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https://www.oekobaudat.de/OEKOBAU.DAT/resource/processes/89956dbd-9cd4-4698-8e06-e7292f543246?version=20.23.050" TargetMode="External"/><Relationship Id="rId12" Type="http://schemas.openxmlformats.org/officeDocument/2006/relationships/hyperlink" Target="https://oekobaudat.de/OEKOBAU.DAT/resource/datastocks/c391de0f-2cfd-47ea-8883-c661d294e2ba/processes/c93da4c3-94c9-4c86-b092-610cf1cf012f?format=html&amp;lang=en&amp;version=00.10.000" TargetMode="External"/><Relationship Id="rId17" Type="http://schemas.openxmlformats.org/officeDocument/2006/relationships/hyperlink" Target="https://www.oekobaudat.de/OEKOBAU.DAT/resource/processes/ed739600-fbd0-4b3e-b577-453778a5270e?version=20.23.050" TargetMode="External"/><Relationship Id="rId2" Type="http://schemas.openxmlformats.org/officeDocument/2006/relationships/hyperlink" Target="https://www.epddanmark.dk/media/msth4oem/md-22042-da.pdf" TargetMode="External"/><Relationship Id="rId16" Type="http://schemas.openxmlformats.org/officeDocument/2006/relationships/hyperlink" Target="https://www.oekobaudat.de/OEKOBAU.DAT/resource/processes/40ef1e7b-920d-4fe4-a8ec-3a540ef93c65?version=20.23.050" TargetMode="External"/><Relationship Id="rId20" Type="http://schemas.openxmlformats.org/officeDocument/2006/relationships/hyperlink" Target="https://www.oekobaudat.de/OEKOBAU.DAT/resource/processes/07a8b3de-9406-4184-bb6e-c9208983c868?version=20.23.050" TargetMode="External"/><Relationship Id="rId1" Type="http://schemas.openxmlformats.org/officeDocument/2006/relationships/hyperlink" Target="https://www.epddanmark.dk/media/44tddsrk/md-22041-da.pdf" TargetMode="External"/><Relationship Id="rId6" Type="http://schemas.openxmlformats.org/officeDocument/2006/relationships/hyperlink" Target="https://www.oekobaudat.de/OEKOBAU.DAT/resource/processes/77dbec35-a9ed-462f-91dc-c26fce408a2b?version=20.23.050" TargetMode="External"/><Relationship Id="rId11" Type="http://schemas.openxmlformats.org/officeDocument/2006/relationships/hyperlink" Target="https://oekobaudat.de/OEKOBAU.DAT/resource/datastocks/c391de0f-2cfd-47ea-8883-c661d294e2ba/processes/f27b04a9-2fa2-4ac2-8c5f-03addd0a643a?format=html&amp;lang=en&amp;version=00.04.000" TargetMode="External"/><Relationship Id="rId5" Type="http://schemas.openxmlformats.org/officeDocument/2006/relationships/hyperlink" Target="https://vbn.aau.dk/da/publications/udvikling-af-dansk-generisk-lca-data?" TargetMode="External"/><Relationship Id="rId15" Type="http://schemas.openxmlformats.org/officeDocument/2006/relationships/hyperlink" Target="https://www.oekobaudat.de/OEKOBAU.DAT/resource/processes/2d7f6993-c585-4674-b030-348434efeaca?version=20.23.050" TargetMode="External"/><Relationship Id="rId10" Type="http://schemas.openxmlformats.org/officeDocument/2006/relationships/hyperlink" Target="https://www.oekobaudat.de/OEKOBAU.DAT/resource/processes/d6dc8844-4d8a-4abe-8ce9-db39c965f5bf?version=20.23.050" TargetMode="External"/><Relationship Id="rId19" Type="http://schemas.openxmlformats.org/officeDocument/2006/relationships/hyperlink" Target="https://www.oekobaudat.de/OEKOBAU.DAT/resource/processes/f3a3bf90-a295-4aab-9bfc-af3fe20c921b?version=20.23.050" TargetMode="External"/><Relationship Id="rId4" Type="http://schemas.openxmlformats.org/officeDocument/2006/relationships/hyperlink" Target="https://www.epddanmark.dk/media/4pnfnax3/md-22039-da.pdf" TargetMode="External"/><Relationship Id="rId9" Type="http://schemas.openxmlformats.org/officeDocument/2006/relationships/hyperlink" Target="https://vbn.aau.dk/da/publications/klimap%C3%A5virkning-fra-nybyggeri-analytisk-grundlag-til-fastl%C3%A6ggelse?" TargetMode="External"/><Relationship Id="rId14" Type="http://schemas.openxmlformats.org/officeDocument/2006/relationships/hyperlink" Target="https://vbn.aau.dk/da/publications/udvikling-af-dansk-generisk-lca-data?" TargetMode="External"/><Relationship Id="rId2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08"/>
  <sheetViews>
    <sheetView tabSelected="1" zoomScale="90" zoomScaleNormal="90" workbookViewId="0">
      <pane xSplit="1" ySplit="1" topLeftCell="B477" activePane="bottomRight" state="frozen"/>
      <selection pane="topRight" activeCell="B1" sqref="B1"/>
      <selection pane="bottomLeft" activeCell="A2" sqref="A2"/>
      <selection pane="bottomRight" activeCell="D489" sqref="D489"/>
    </sheetView>
  </sheetViews>
  <sheetFormatPr defaultRowHeight="15" x14ac:dyDescent="0.25"/>
  <cols>
    <col min="1" max="1" width="14.42578125" customWidth="1"/>
    <col min="2" max="2" width="14.140625" customWidth="1"/>
    <col min="3" max="3" width="44.7109375" customWidth="1"/>
    <col min="4" max="4" width="75.85546875" bestFit="1" customWidth="1"/>
    <col min="5" max="5" width="75.85546875" customWidth="1"/>
    <col min="6" max="14" width="13.140625" customWidth="1"/>
    <col min="15" max="15" width="10.28515625" customWidth="1"/>
    <col min="23" max="23" width="10.140625" customWidth="1"/>
    <col min="25" max="25" width="9.7109375" bestFit="1" customWidth="1"/>
  </cols>
  <sheetData>
    <row r="1" spans="1:15" ht="130.5" customHeight="1" x14ac:dyDescent="0.25">
      <c r="A1" s="7" t="s">
        <v>0</v>
      </c>
      <c r="B1" s="8" t="s">
        <v>1</v>
      </c>
      <c r="C1" s="8" t="s">
        <v>2</v>
      </c>
      <c r="D1" s="8" t="s">
        <v>3</v>
      </c>
      <c r="E1" s="8" t="s">
        <v>2521</v>
      </c>
      <c r="F1" s="9" t="s">
        <v>4</v>
      </c>
      <c r="G1" s="10" t="s">
        <v>5</v>
      </c>
      <c r="H1" s="11" t="s">
        <v>6</v>
      </c>
      <c r="I1" s="12" t="s">
        <v>7</v>
      </c>
      <c r="J1" s="13" t="s">
        <v>8</v>
      </c>
      <c r="K1" s="8" t="s">
        <v>9</v>
      </c>
      <c r="L1" s="13" t="s">
        <v>10</v>
      </c>
      <c r="M1" s="13" t="s">
        <v>1708</v>
      </c>
      <c r="N1" s="14" t="s">
        <v>11</v>
      </c>
      <c r="O1" s="13" t="s">
        <v>12</v>
      </c>
    </row>
    <row r="2" spans="1:15" x14ac:dyDescent="0.25">
      <c r="A2" s="2" t="s">
        <v>415</v>
      </c>
      <c r="B2" s="1" t="s">
        <v>394</v>
      </c>
      <c r="C2" s="1" t="s">
        <v>416</v>
      </c>
      <c r="D2" s="1" t="s">
        <v>417</v>
      </c>
      <c r="E2" s="1" t="str">
        <f>VLOOKUP(Table1[[#This Row],[Navn DK]],product_nodes_new_id!A:C,3,FALSE)</f>
        <v>c1e386eb-042a-4b05-b29f-1f5587627613</v>
      </c>
      <c r="F2" s="1">
        <v>0.315414169513135</v>
      </c>
      <c r="G2" s="1">
        <v>0</v>
      </c>
      <c r="H2" s="1">
        <v>1.7601035296446899E-2</v>
      </c>
      <c r="I2" s="1">
        <v>0</v>
      </c>
      <c r="J2" s="1">
        <v>1</v>
      </c>
      <c r="K2" s="1" t="s">
        <v>17</v>
      </c>
      <c r="L2" s="1">
        <v>1800</v>
      </c>
      <c r="M2" s="1" t="s">
        <v>69</v>
      </c>
      <c r="N2" s="3" t="s">
        <v>1545</v>
      </c>
      <c r="O2" s="1"/>
    </row>
    <row r="3" spans="1:15" x14ac:dyDescent="0.25">
      <c r="A3" s="2" t="s">
        <v>1197</v>
      </c>
      <c r="B3" s="1" t="s">
        <v>394</v>
      </c>
      <c r="C3" s="1" t="s">
        <v>1198</v>
      </c>
      <c r="D3" s="1" t="s">
        <v>1199</v>
      </c>
      <c r="E3" s="1" t="str">
        <f>VLOOKUP(Table1[[#This Row],[Navn DK]],product_nodes_new_id!A:C,3,FALSE)</f>
        <v>1709dfe7-3f83-4105-a169-128b869fa84b</v>
      </c>
      <c r="F3" s="1">
        <v>45.5040580747077</v>
      </c>
      <c r="G3" s="1">
        <v>2.9339393434745999</v>
      </c>
      <c r="H3" s="1">
        <v>0.51225219691468904</v>
      </c>
      <c r="I3" s="1">
        <v>-19.228392129610899</v>
      </c>
      <c r="J3" s="1">
        <v>1</v>
      </c>
      <c r="K3" s="1" t="s">
        <v>123</v>
      </c>
      <c r="L3" s="1">
        <v>13.4</v>
      </c>
      <c r="M3" s="1" t="s">
        <v>124</v>
      </c>
      <c r="N3" s="3" t="s">
        <v>1200</v>
      </c>
      <c r="O3" s="1"/>
    </row>
    <row r="4" spans="1:15" x14ac:dyDescent="0.25">
      <c r="A4" s="2" t="s">
        <v>235</v>
      </c>
      <c r="B4" s="1" t="s">
        <v>130</v>
      </c>
      <c r="C4" s="1" t="s">
        <v>22</v>
      </c>
      <c r="D4" s="1" t="s">
        <v>236</v>
      </c>
      <c r="E4" s="1" t="str">
        <f>VLOOKUP(Table1[[#This Row],[Navn DK]],product_nodes_new_id!A:C,3,FALSE)</f>
        <v>8f5be1d1-95d9-4f8b-9fa3-9892b6166451</v>
      </c>
      <c r="F4" s="1">
        <v>9.9550000000000018</v>
      </c>
      <c r="G4" s="1">
        <v>0</v>
      </c>
      <c r="H4" s="1">
        <v>3.6080000000000008E-2</v>
      </c>
      <c r="I4" s="1">
        <v>-0.18090000000000001</v>
      </c>
      <c r="J4" s="1">
        <v>1</v>
      </c>
      <c r="K4" s="1" t="s">
        <v>24</v>
      </c>
      <c r="L4" s="1">
        <v>154</v>
      </c>
      <c r="M4" s="1" t="s">
        <v>69</v>
      </c>
      <c r="N4" s="3" t="s">
        <v>133</v>
      </c>
      <c r="O4" s="1"/>
    </row>
    <row r="5" spans="1:15" x14ac:dyDescent="0.25">
      <c r="A5" s="2" t="s">
        <v>229</v>
      </c>
      <c r="B5" s="1" t="s">
        <v>130</v>
      </c>
      <c r="C5" s="1" t="s">
        <v>22</v>
      </c>
      <c r="D5" s="1" t="s">
        <v>230</v>
      </c>
      <c r="E5" s="1" t="str">
        <f>VLOOKUP(Table1[[#This Row],[Navn DK]],product_nodes_new_id!A:C,3,FALSE)</f>
        <v>a3daac12-50b5-433c-a210-109a3c3a1004</v>
      </c>
      <c r="F5" s="1">
        <v>13.200000000000001</v>
      </c>
      <c r="G5" s="1">
        <v>0</v>
      </c>
      <c r="H5" s="1">
        <v>3.6080000000000008E-2</v>
      </c>
      <c r="I5" s="1">
        <v>-0.18090000000000001</v>
      </c>
      <c r="J5" s="1">
        <v>1</v>
      </c>
      <c r="K5" s="1" t="s">
        <v>24</v>
      </c>
      <c r="L5" s="1">
        <v>126</v>
      </c>
      <c r="M5" s="1" t="s">
        <v>69</v>
      </c>
      <c r="N5" s="3" t="s">
        <v>133</v>
      </c>
      <c r="O5" s="1"/>
    </row>
    <row r="6" spans="1:15" x14ac:dyDescent="0.25">
      <c r="A6" s="2" t="s">
        <v>330</v>
      </c>
      <c r="B6" s="1" t="s">
        <v>130</v>
      </c>
      <c r="C6" s="1" t="s">
        <v>22</v>
      </c>
      <c r="D6" s="1" t="s">
        <v>331</v>
      </c>
      <c r="E6" s="1" t="str">
        <f>VLOOKUP(Table1[[#This Row],[Navn DK]],product_nodes_new_id!A:C,3,FALSE)</f>
        <v>4e4d085f-eab6-4836-a7cc-473fb3184f32</v>
      </c>
      <c r="F6" s="1">
        <v>-135.126</v>
      </c>
      <c r="G6" s="1">
        <v>453.20000000000005</v>
      </c>
      <c r="H6" s="1">
        <v>23.760000000000005</v>
      </c>
      <c r="I6" s="1">
        <v>-131.4</v>
      </c>
      <c r="J6" s="1">
        <v>1</v>
      </c>
      <c r="K6" s="1" t="s">
        <v>68</v>
      </c>
      <c r="L6" s="1">
        <v>280</v>
      </c>
      <c r="M6" s="1" t="s">
        <v>69</v>
      </c>
      <c r="N6" s="3" t="s">
        <v>133</v>
      </c>
      <c r="O6" s="1"/>
    </row>
    <row r="7" spans="1:15" x14ac:dyDescent="0.25">
      <c r="A7" s="2" t="s">
        <v>243</v>
      </c>
      <c r="B7" s="1" t="s">
        <v>130</v>
      </c>
      <c r="C7" s="1" t="s">
        <v>22</v>
      </c>
      <c r="D7" s="1" t="s">
        <v>244</v>
      </c>
      <c r="E7" s="1" t="str">
        <f>VLOOKUP(Table1[[#This Row],[Navn DK]],product_nodes_new_id!A:C,3,FALSE)</f>
        <v>634786fd-a36e-4ba6-8f6a-280ddee5d989</v>
      </c>
      <c r="F7" s="1">
        <v>2.1835</v>
      </c>
      <c r="G7" s="1">
        <v>0</v>
      </c>
      <c r="H7" s="1">
        <v>11</v>
      </c>
      <c r="I7" s="1">
        <v>-0.49860000000000004</v>
      </c>
      <c r="J7" s="1">
        <v>1</v>
      </c>
      <c r="K7" s="1" t="s">
        <v>24</v>
      </c>
      <c r="L7" s="1">
        <v>470.5</v>
      </c>
      <c r="M7" s="1" t="s">
        <v>69</v>
      </c>
      <c r="N7" s="3" t="s">
        <v>133</v>
      </c>
      <c r="O7" s="1"/>
    </row>
    <row r="8" spans="1:15" x14ac:dyDescent="0.25">
      <c r="A8" s="2" t="s">
        <v>241</v>
      </c>
      <c r="B8" s="1" t="s">
        <v>130</v>
      </c>
      <c r="C8" s="1" t="s">
        <v>22</v>
      </c>
      <c r="D8" s="1" t="s">
        <v>242</v>
      </c>
      <c r="E8" s="1" t="str">
        <f>VLOOKUP(Table1[[#This Row],[Navn DK]],product_nodes_new_id!A:C,3,FALSE)</f>
        <v>a6527cf6-5b42-456b-a035-bddbea69c068</v>
      </c>
      <c r="F8" s="1">
        <v>1.6582500000000002</v>
      </c>
      <c r="G8" s="1">
        <v>0</v>
      </c>
      <c r="H8" s="1">
        <v>11.110000000000001</v>
      </c>
      <c r="I8" s="1">
        <v>-0.50130000000000008</v>
      </c>
      <c r="J8" s="1">
        <v>1</v>
      </c>
      <c r="K8" s="1" t="s">
        <v>24</v>
      </c>
      <c r="L8" s="1">
        <v>459.5</v>
      </c>
      <c r="M8" s="1" t="s">
        <v>69</v>
      </c>
      <c r="N8" s="3" t="s">
        <v>133</v>
      </c>
      <c r="O8" s="1"/>
    </row>
    <row r="9" spans="1:15" x14ac:dyDescent="0.25">
      <c r="A9" s="2" t="s">
        <v>199</v>
      </c>
      <c r="B9" s="1" t="s">
        <v>130</v>
      </c>
      <c r="C9" s="1" t="s">
        <v>22</v>
      </c>
      <c r="D9" s="1" t="s">
        <v>200</v>
      </c>
      <c r="E9" s="1" t="str">
        <f>VLOOKUP(Table1[[#This Row],[Navn DK]],product_nodes_new_id!A:C,3,FALSE)</f>
        <v>078ba92b-1e88-4fce-987d-5875b22997fc</v>
      </c>
      <c r="F9" s="1">
        <v>24.937000000000005</v>
      </c>
      <c r="G9" s="1">
        <v>14.190000000000001</v>
      </c>
      <c r="H9" s="1">
        <v>0</v>
      </c>
      <c r="I9" s="1">
        <v>-1.8</v>
      </c>
      <c r="J9" s="1">
        <v>1</v>
      </c>
      <c r="K9" s="1" t="s">
        <v>24</v>
      </c>
      <c r="L9" s="1">
        <v>8.65</v>
      </c>
      <c r="M9" s="1" t="s">
        <v>25</v>
      </c>
      <c r="N9" s="15" t="s">
        <v>133</v>
      </c>
      <c r="O9" s="1"/>
    </row>
    <row r="10" spans="1:15" x14ac:dyDescent="0.25">
      <c r="A10" s="2" t="s">
        <v>231</v>
      </c>
      <c r="B10" s="1" t="s">
        <v>130</v>
      </c>
      <c r="C10" s="1" t="s">
        <v>22</v>
      </c>
      <c r="D10" s="1" t="s">
        <v>232</v>
      </c>
      <c r="E10" s="1" t="str">
        <f>VLOOKUP(Table1[[#This Row],[Navn DK]],product_nodes_new_id!A:C,3,FALSE)</f>
        <v>7b7d9385-cb7c-4a14-81b1-e5a046b94be4</v>
      </c>
      <c r="F10" s="1">
        <v>-3.2270400000000001</v>
      </c>
      <c r="G10" s="1">
        <v>8.2896000000000001</v>
      </c>
      <c r="H10" s="1">
        <v>0</v>
      </c>
      <c r="I10" s="1">
        <v>-1.5206399999999998</v>
      </c>
      <c r="J10" s="1">
        <v>1</v>
      </c>
      <c r="K10" s="1" t="s">
        <v>24</v>
      </c>
      <c r="L10" s="1">
        <v>137</v>
      </c>
      <c r="M10" s="1" t="s">
        <v>69</v>
      </c>
      <c r="N10" s="3" t="s">
        <v>133</v>
      </c>
      <c r="O10" s="1"/>
    </row>
    <row r="11" spans="1:15" x14ac:dyDescent="0.25">
      <c r="A11" s="2" t="s">
        <v>233</v>
      </c>
      <c r="B11" s="1" t="s">
        <v>130</v>
      </c>
      <c r="C11" s="1" t="s">
        <v>22</v>
      </c>
      <c r="D11" s="1" t="s">
        <v>234</v>
      </c>
      <c r="E11" s="1" t="str">
        <f>VLOOKUP(Table1[[#This Row],[Navn DK]],product_nodes_new_id!A:C,3,FALSE)</f>
        <v>56b26361-f5ab-4794-9e3b-0e273252c151</v>
      </c>
      <c r="F11" s="1">
        <v>-1.5724799999999999</v>
      </c>
      <c r="G11" s="1">
        <v>7.6032000000000002</v>
      </c>
      <c r="H11" s="1">
        <v>0</v>
      </c>
      <c r="I11" s="1">
        <v>-1.3737600000000001</v>
      </c>
      <c r="J11" s="1">
        <v>1</v>
      </c>
      <c r="K11" s="1" t="s">
        <v>24</v>
      </c>
      <c r="L11" s="1">
        <v>137</v>
      </c>
      <c r="M11" s="1" t="s">
        <v>69</v>
      </c>
      <c r="N11" s="3" t="s">
        <v>133</v>
      </c>
      <c r="O11" s="1"/>
    </row>
    <row r="12" spans="1:15" x14ac:dyDescent="0.25">
      <c r="A12" s="2" t="s">
        <v>1467</v>
      </c>
      <c r="B12" s="1" t="s">
        <v>394</v>
      </c>
      <c r="C12" s="1" t="s">
        <v>1468</v>
      </c>
      <c r="D12" s="1" t="s">
        <v>1469</v>
      </c>
      <c r="E12" s="1" t="str">
        <f>VLOOKUP(Table1[[#This Row],[Navn DK]],product_nodes_new_id!A:C,3,FALSE)</f>
        <v>6c3eb5c1-e1fb-4139-aff5-1255b8ab4d86</v>
      </c>
      <c r="F12" s="1">
        <v>11.0094223229984</v>
      </c>
      <c r="G12" s="1">
        <v>0</v>
      </c>
      <c r="H12" s="1">
        <v>0</v>
      </c>
      <c r="I12" s="1">
        <v>-7.2765833778420204</v>
      </c>
      <c r="J12" s="1">
        <v>1</v>
      </c>
      <c r="K12" s="1" t="s">
        <v>17</v>
      </c>
      <c r="L12" s="1">
        <v>2700</v>
      </c>
      <c r="M12" s="1" t="s">
        <v>69</v>
      </c>
      <c r="N12" s="3" t="s">
        <v>1470</v>
      </c>
      <c r="O12" s="1"/>
    </row>
    <row r="13" spans="1:15" x14ac:dyDescent="0.25">
      <c r="A13" s="2" t="s">
        <v>860</v>
      </c>
      <c r="B13" s="1" t="s">
        <v>394</v>
      </c>
      <c r="C13" s="1" t="s">
        <v>861</v>
      </c>
      <c r="D13" s="1" t="s">
        <v>862</v>
      </c>
      <c r="E13" s="1" t="str">
        <f>VLOOKUP(Table1[[#This Row],[Navn DK]],product_nodes_new_id!A:C,3,FALSE)</f>
        <v>8686d990-a212-4b00-81cd-bbe92534180c</v>
      </c>
      <c r="F13" s="1">
        <v>3.1169806527764599</v>
      </c>
      <c r="G13" s="1">
        <v>0</v>
      </c>
      <c r="H13" s="1">
        <v>0</v>
      </c>
      <c r="I13" s="1">
        <v>-2.0374433457957699</v>
      </c>
      <c r="J13" s="1">
        <v>1</v>
      </c>
      <c r="K13" s="1" t="s">
        <v>24</v>
      </c>
      <c r="L13" s="1">
        <v>0.28000000000000003</v>
      </c>
      <c r="M13" s="1" t="s">
        <v>25</v>
      </c>
      <c r="N13" s="3" t="s">
        <v>863</v>
      </c>
      <c r="O13" s="1"/>
    </row>
    <row r="14" spans="1:15" x14ac:dyDescent="0.25">
      <c r="A14" s="2" t="s">
        <v>1455</v>
      </c>
      <c r="B14" s="1" t="s">
        <v>394</v>
      </c>
      <c r="C14" s="1" t="s">
        <v>1456</v>
      </c>
      <c r="D14" s="1" t="s">
        <v>1457</v>
      </c>
      <c r="E14" s="1" t="str">
        <f>VLOOKUP(Table1[[#This Row],[Navn DK]],product_nodes_new_id!A:C,3,FALSE)</f>
        <v>013a53d1-8fed-427f-a79e-a6d21407ec3f</v>
      </c>
      <c r="F14" s="1">
        <v>10.534353360040001</v>
      </c>
      <c r="G14" s="1">
        <v>0</v>
      </c>
      <c r="H14" s="1">
        <v>0</v>
      </c>
      <c r="I14" s="1">
        <v>-7.2765833778420204</v>
      </c>
      <c r="J14" s="1">
        <v>1</v>
      </c>
      <c r="K14" s="1" t="s">
        <v>17</v>
      </c>
      <c r="L14" s="1">
        <v>2700</v>
      </c>
      <c r="M14" s="1" t="s">
        <v>69</v>
      </c>
      <c r="N14" s="3" t="s">
        <v>1458</v>
      </c>
      <c r="O14" s="1"/>
    </row>
    <row r="15" spans="1:15" x14ac:dyDescent="0.25">
      <c r="A15" s="2" t="s">
        <v>1473</v>
      </c>
      <c r="B15" s="1" t="s">
        <v>394</v>
      </c>
      <c r="C15" s="1" t="s">
        <v>1474</v>
      </c>
      <c r="D15" s="1" t="s">
        <v>1475</v>
      </c>
      <c r="E15" s="1" t="str">
        <f>VLOOKUP(Table1[[#This Row],[Navn DK]],product_nodes_new_id!A:C,3,FALSE)</f>
        <v>5317384e-7fc7-4334-919d-264e6e3bcf81</v>
      </c>
      <c r="F15" s="1">
        <v>10.6977657687905</v>
      </c>
      <c r="G15" s="1">
        <v>0</v>
      </c>
      <c r="H15" s="1">
        <v>0</v>
      </c>
      <c r="I15" s="1">
        <v>-7.2765833778420204</v>
      </c>
      <c r="J15" s="1">
        <v>1</v>
      </c>
      <c r="K15" s="1" t="s">
        <v>17</v>
      </c>
      <c r="L15" s="1">
        <v>2700</v>
      </c>
      <c r="M15" s="1" t="s">
        <v>69</v>
      </c>
      <c r="N15" s="3" t="s">
        <v>1476</v>
      </c>
      <c r="O15" s="1"/>
    </row>
    <row r="16" spans="1:15" x14ac:dyDescent="0.25">
      <c r="A16" s="2" t="s">
        <v>1459</v>
      </c>
      <c r="B16" s="1" t="s">
        <v>394</v>
      </c>
      <c r="C16" s="1" t="s">
        <v>1460</v>
      </c>
      <c r="D16" s="1" t="s">
        <v>1461</v>
      </c>
      <c r="E16" s="1" t="str">
        <f>VLOOKUP(Table1[[#This Row],[Navn DK]],product_nodes_new_id!A:C,3,FALSE)</f>
        <v>f32aa7b1-d35e-4fab-94af-627389e2a0de</v>
      </c>
      <c r="F16" s="1">
        <v>2.5299277422825099</v>
      </c>
      <c r="G16" s="1">
        <v>0</v>
      </c>
      <c r="H16" s="1">
        <v>0</v>
      </c>
      <c r="I16" s="1">
        <v>-2.09601705134703</v>
      </c>
      <c r="J16" s="1">
        <v>1</v>
      </c>
      <c r="K16" s="1" t="s">
        <v>17</v>
      </c>
      <c r="L16" s="1">
        <v>1</v>
      </c>
      <c r="M16" s="1" t="s">
        <v>18</v>
      </c>
      <c r="N16" s="3" t="s">
        <v>1462</v>
      </c>
      <c r="O16" s="1"/>
    </row>
    <row r="17" spans="1:15" x14ac:dyDescent="0.25">
      <c r="A17" s="2" t="s">
        <v>381</v>
      </c>
      <c r="B17" s="1" t="s">
        <v>130</v>
      </c>
      <c r="C17" s="1" t="s">
        <v>22</v>
      </c>
      <c r="D17" s="1" t="s">
        <v>382</v>
      </c>
      <c r="E17" s="1" t="str">
        <f>VLOOKUP(Table1[[#This Row],[Navn DK]],product_nodes_new_id!A:C,3,FALSE)</f>
        <v>f74c55e0-dfc0-4043-91de-d918dceac445</v>
      </c>
      <c r="F17" s="1">
        <v>1144</v>
      </c>
      <c r="G17" s="1">
        <v>0</v>
      </c>
      <c r="H17" s="1">
        <v>0</v>
      </c>
      <c r="I17" s="1">
        <v>110.7</v>
      </c>
      <c r="J17" s="1">
        <v>1</v>
      </c>
      <c r="K17" s="1" t="s">
        <v>339</v>
      </c>
      <c r="L17" s="1">
        <v>7850</v>
      </c>
      <c r="M17" s="1" t="s">
        <v>69</v>
      </c>
      <c r="N17" s="3" t="s">
        <v>133</v>
      </c>
      <c r="O17" s="1"/>
    </row>
    <row r="18" spans="1:15" x14ac:dyDescent="0.25">
      <c r="A18" s="2" t="s">
        <v>516</v>
      </c>
      <c r="B18" s="1" t="s">
        <v>394</v>
      </c>
      <c r="C18" s="1" t="s">
        <v>517</v>
      </c>
      <c r="D18" s="1" t="s">
        <v>1706</v>
      </c>
      <c r="E18" s="1" t="e">
        <f>VLOOKUP(Table1[[#This Row],[Navn DK]],product_nodes_new_id!A:C,3,FALSE)</f>
        <v>#N/A</v>
      </c>
      <c r="F18" s="1">
        <v>0.102300162295712</v>
      </c>
      <c r="G18" s="1">
        <v>0</v>
      </c>
      <c r="H18" s="1">
        <v>0</v>
      </c>
      <c r="I18" s="1">
        <v>-1.70095082391599E-2</v>
      </c>
      <c r="J18" s="1">
        <v>1</v>
      </c>
      <c r="K18" s="1" t="s">
        <v>17</v>
      </c>
      <c r="L18" s="1">
        <v>2400</v>
      </c>
      <c r="M18" s="1" t="s">
        <v>69</v>
      </c>
      <c r="N18" s="15" t="s">
        <v>1568</v>
      </c>
      <c r="O18" s="1"/>
    </row>
    <row r="19" spans="1:15" x14ac:dyDescent="0.25">
      <c r="A19" s="2" t="s">
        <v>487</v>
      </c>
      <c r="B19" s="1" t="s">
        <v>394</v>
      </c>
      <c r="C19" s="1" t="s">
        <v>488</v>
      </c>
      <c r="D19" s="1" t="s">
        <v>489</v>
      </c>
      <c r="E19" s="1" t="str">
        <f>VLOOKUP(Table1[[#This Row],[Navn DK]],product_nodes_new_id!A:C,3,FALSE)</f>
        <v>76244e68-5c33-44f5-bea6-78b7f836492d</v>
      </c>
      <c r="F19" s="1">
        <v>7.3316331199011597E-2</v>
      </c>
      <c r="G19" s="1">
        <v>0</v>
      </c>
      <c r="H19" s="1">
        <v>0</v>
      </c>
      <c r="I19" s="1">
        <v>-1.70095082391599E-2</v>
      </c>
      <c r="J19" s="1">
        <v>1</v>
      </c>
      <c r="K19" s="1" t="s">
        <v>17</v>
      </c>
      <c r="L19" s="1">
        <v>2350</v>
      </c>
      <c r="M19" s="1" t="s">
        <v>69</v>
      </c>
      <c r="N19" s="3" t="s">
        <v>1561</v>
      </c>
      <c r="O19" s="1"/>
    </row>
    <row r="20" spans="1:15" x14ac:dyDescent="0.25">
      <c r="A20" s="2" t="s">
        <v>357</v>
      </c>
      <c r="B20" s="1" t="s">
        <v>130</v>
      </c>
      <c r="C20" s="1" t="s">
        <v>22</v>
      </c>
      <c r="D20" s="1" t="s">
        <v>358</v>
      </c>
      <c r="E20" s="1" t="str">
        <f>VLOOKUP(Table1[[#This Row],[Navn DK]],product_nodes_new_id!A:C,3,FALSE)</f>
        <v>7878f1b6-4023-4ede-a363-0fd23885d435</v>
      </c>
      <c r="F20" s="1">
        <v>75.570000000000007</v>
      </c>
      <c r="G20" s="1">
        <v>2.9810000000000003</v>
      </c>
      <c r="H20" s="1">
        <v>0.1595</v>
      </c>
      <c r="I20" s="1">
        <v>-1.8180000000000001</v>
      </c>
      <c r="J20" s="1">
        <v>1</v>
      </c>
      <c r="K20" s="1" t="s">
        <v>339</v>
      </c>
      <c r="L20" s="1">
        <v>1760</v>
      </c>
      <c r="M20" s="1" t="s">
        <v>69</v>
      </c>
      <c r="N20" s="3" t="s">
        <v>133</v>
      </c>
      <c r="O20" s="1"/>
    </row>
    <row r="21" spans="1:15" x14ac:dyDescent="0.25">
      <c r="A21" s="2" t="s">
        <v>1236</v>
      </c>
      <c r="B21" s="1" t="s">
        <v>394</v>
      </c>
      <c r="C21" s="1" t="s">
        <v>1237</v>
      </c>
      <c r="D21" s="1" t="s">
        <v>1238</v>
      </c>
      <c r="E21" s="1" t="str">
        <f>VLOOKUP(Table1[[#This Row],[Navn DK]],product_nodes_new_id!A:C,3,FALSE)</f>
        <v>168e5da6-64e3-4bef-8d33-0d7327297704</v>
      </c>
      <c r="F21" s="1">
        <v>13.7501377278224</v>
      </c>
      <c r="G21" s="1">
        <v>0</v>
      </c>
      <c r="H21" s="1">
        <v>0</v>
      </c>
      <c r="I21" s="1">
        <v>-7.6756277829170596</v>
      </c>
      <c r="J21" s="1">
        <v>1</v>
      </c>
      <c r="K21" s="1" t="s">
        <v>123</v>
      </c>
      <c r="L21" s="1">
        <v>1.65</v>
      </c>
      <c r="M21" s="1" t="s">
        <v>124</v>
      </c>
      <c r="N21" s="3" t="s">
        <v>1239</v>
      </c>
      <c r="O21" s="1"/>
    </row>
    <row r="22" spans="1:15" x14ac:dyDescent="0.25">
      <c r="A22" s="2" t="s">
        <v>1213</v>
      </c>
      <c r="B22" s="1" t="s">
        <v>394</v>
      </c>
      <c r="C22" s="1" t="s">
        <v>1214</v>
      </c>
      <c r="D22" s="1" t="s">
        <v>1215</v>
      </c>
      <c r="E22" s="1" t="str">
        <f>VLOOKUP(Table1[[#This Row],[Navn DK]],product_nodes_new_id!A:C,3,FALSE)</f>
        <v>bd1de5fc-fa49-434f-aa69-20472c6323cd</v>
      </c>
      <c r="F22" s="1">
        <v>11.880486549039</v>
      </c>
      <c r="G22" s="1">
        <v>0</v>
      </c>
      <c r="H22" s="1">
        <v>0</v>
      </c>
      <c r="I22" s="1">
        <v>-5.6488242007086997</v>
      </c>
      <c r="J22" s="1">
        <v>1</v>
      </c>
      <c r="K22" s="1" t="s">
        <v>123</v>
      </c>
      <c r="L22" s="1">
        <v>0.93200000000000005</v>
      </c>
      <c r="M22" s="1" t="s">
        <v>124</v>
      </c>
      <c r="N22" s="3" t="s">
        <v>1216</v>
      </c>
      <c r="O22" s="1"/>
    </row>
    <row r="23" spans="1:15" x14ac:dyDescent="0.25">
      <c r="A23" s="2" t="s">
        <v>1201</v>
      </c>
      <c r="B23" s="1" t="s">
        <v>394</v>
      </c>
      <c r="C23" s="1" t="s">
        <v>1202</v>
      </c>
      <c r="D23" s="1" t="s">
        <v>1203</v>
      </c>
      <c r="E23" s="1" t="str">
        <f>VLOOKUP(Table1[[#This Row],[Navn DK]],product_nodes_new_id!A:C,3,FALSE)</f>
        <v>23538024-5254-4f94-9dd6-3c7f9d533f0c</v>
      </c>
      <c r="F23" s="1">
        <v>6.1409319444835004</v>
      </c>
      <c r="G23" s="1">
        <v>0</v>
      </c>
      <c r="H23" s="1">
        <v>0</v>
      </c>
      <c r="I23" s="1">
        <v>-3.4283593614771202</v>
      </c>
      <c r="J23" s="1">
        <v>1</v>
      </c>
      <c r="K23" s="1" t="s">
        <v>123</v>
      </c>
      <c r="L23" s="1">
        <v>0.69599999999999995</v>
      </c>
      <c r="M23" s="1" t="s">
        <v>124</v>
      </c>
      <c r="N23" s="3" t="s">
        <v>1204</v>
      </c>
      <c r="O23" s="1"/>
    </row>
    <row r="24" spans="1:15" x14ac:dyDescent="0.25">
      <c r="A24" s="2" t="s">
        <v>1331</v>
      </c>
      <c r="B24" s="1" t="s">
        <v>394</v>
      </c>
      <c r="C24" s="1" t="s">
        <v>1332</v>
      </c>
      <c r="D24" s="1" t="s">
        <v>1333</v>
      </c>
      <c r="E24" s="1" t="str">
        <f>VLOOKUP(Table1[[#This Row],[Navn DK]],product_nodes_new_id!A:C,3,FALSE)</f>
        <v>70306ada-ed43-4d16-9eeb-0e5c47f38786</v>
      </c>
      <c r="F24" s="1">
        <v>9.6760781934431304</v>
      </c>
      <c r="G24" s="1">
        <v>0</v>
      </c>
      <c r="H24" s="1">
        <v>0</v>
      </c>
      <c r="I24" s="1">
        <v>-4.7948229777317</v>
      </c>
      <c r="J24" s="1">
        <v>1</v>
      </c>
      <c r="K24" s="1" t="s">
        <v>123</v>
      </c>
      <c r="L24" s="1">
        <v>2.63</v>
      </c>
      <c r="M24" s="1" t="s">
        <v>124</v>
      </c>
      <c r="N24" s="3" t="s">
        <v>1679</v>
      </c>
      <c r="O24" s="1"/>
    </row>
    <row r="25" spans="1:15" x14ac:dyDescent="0.25">
      <c r="A25" s="2" t="s">
        <v>237</v>
      </c>
      <c r="B25" s="1" t="s">
        <v>130</v>
      </c>
      <c r="C25" s="1" t="s">
        <v>22</v>
      </c>
      <c r="D25" s="1" t="s">
        <v>238</v>
      </c>
      <c r="E25" s="1" t="str">
        <f>VLOOKUP(Table1[[#This Row],[Navn DK]],product_nodes_new_id!A:C,3,FALSE)</f>
        <v>b83b9e7a-6dd0-4c89-bb3a-2656ba64fbbd</v>
      </c>
      <c r="F25" s="1">
        <v>28.270000000000003</v>
      </c>
      <c r="G25" s="1">
        <v>0.73920000000000008</v>
      </c>
      <c r="H25" s="1">
        <v>0.54670000000000007</v>
      </c>
      <c r="I25" s="1">
        <v>-0.23760000000000001</v>
      </c>
      <c r="J25" s="1">
        <v>1</v>
      </c>
      <c r="K25" s="1" t="s">
        <v>24</v>
      </c>
      <c r="L25" s="1">
        <v>180</v>
      </c>
      <c r="M25" s="1" t="s">
        <v>25</v>
      </c>
      <c r="N25" s="3" t="s">
        <v>133</v>
      </c>
      <c r="O25" s="1"/>
    </row>
    <row r="26" spans="1:15" x14ac:dyDescent="0.25">
      <c r="A26" s="2" t="s">
        <v>41</v>
      </c>
      <c r="B26" s="1" t="s">
        <v>14</v>
      </c>
      <c r="C26" s="1" t="s">
        <v>22</v>
      </c>
      <c r="D26" s="1" t="s">
        <v>42</v>
      </c>
      <c r="E26" s="1" t="str">
        <f>VLOOKUP(Table1[[#This Row],[Navn DK]],product_nodes_new_id!A:C,3,FALSE)</f>
        <v>259d64ec-f220-4805-ba99-1a28116b3082</v>
      </c>
      <c r="F26" s="1">
        <v>53.1</v>
      </c>
      <c r="G26" s="1">
        <v>0.96499999999999997</v>
      </c>
      <c r="H26" s="1">
        <v>0.7</v>
      </c>
      <c r="I26" s="1">
        <v>-0.78700000000000003</v>
      </c>
      <c r="J26" s="1">
        <v>1</v>
      </c>
      <c r="K26" s="1" t="s">
        <v>24</v>
      </c>
      <c r="L26" s="1">
        <v>320.89999999999998</v>
      </c>
      <c r="M26" s="1" t="s">
        <v>25</v>
      </c>
      <c r="N26" s="3" t="s">
        <v>43</v>
      </c>
      <c r="O26" s="1"/>
    </row>
    <row r="27" spans="1:15" x14ac:dyDescent="0.25">
      <c r="A27" s="2" t="s">
        <v>55</v>
      </c>
      <c r="B27" s="1" t="s">
        <v>14</v>
      </c>
      <c r="C27" s="1" t="s">
        <v>22</v>
      </c>
      <c r="D27" s="1" t="s">
        <v>56</v>
      </c>
      <c r="E27" s="1" t="str">
        <f>VLOOKUP(Table1[[#This Row],[Navn DK]],product_nodes_new_id!A:C,3,FALSE)</f>
        <v>38f0e99c-b548-4961-8c5b-716935e51dd6</v>
      </c>
      <c r="F27" s="1">
        <v>73.2</v>
      </c>
      <c r="G27" s="1">
        <v>1.29</v>
      </c>
      <c r="H27" s="1">
        <v>0.93200000000000005</v>
      </c>
      <c r="I27" s="1">
        <v>-1.08</v>
      </c>
      <c r="J27" s="1">
        <v>1</v>
      </c>
      <c r="K27" s="1" t="s">
        <v>24</v>
      </c>
      <c r="L27" s="1">
        <v>433.9</v>
      </c>
      <c r="M27" s="1" t="s">
        <v>25</v>
      </c>
      <c r="N27" s="3" t="s">
        <v>43</v>
      </c>
      <c r="O27" s="1"/>
    </row>
    <row r="28" spans="1:15" x14ac:dyDescent="0.25">
      <c r="A28" s="2" t="s">
        <v>53</v>
      </c>
      <c r="B28" s="1" t="s">
        <v>14</v>
      </c>
      <c r="C28" s="1" t="s">
        <v>22</v>
      </c>
      <c r="D28" s="1" t="s">
        <v>54</v>
      </c>
      <c r="E28" s="1" t="str">
        <f>VLOOKUP(Table1[[#This Row],[Navn DK]],product_nodes_new_id!A:C,3,FALSE)</f>
        <v>b0eb3872-681f-4926-a6ff-a4abb949df65</v>
      </c>
      <c r="F28" s="1">
        <v>66.900000000000006</v>
      </c>
      <c r="G28" s="1">
        <v>1.28</v>
      </c>
      <c r="H28" s="1">
        <v>0.93</v>
      </c>
      <c r="I28" s="1">
        <v>-1.01</v>
      </c>
      <c r="J28" s="1">
        <v>1</v>
      </c>
      <c r="K28" s="1" t="s">
        <v>24</v>
      </c>
      <c r="L28" s="1">
        <v>426.4</v>
      </c>
      <c r="M28" s="1" t="s">
        <v>25</v>
      </c>
      <c r="N28" s="3" t="s">
        <v>43</v>
      </c>
      <c r="O28" s="1"/>
    </row>
    <row r="29" spans="1:15" x14ac:dyDescent="0.25">
      <c r="A29" s="2" t="s">
        <v>1103</v>
      </c>
      <c r="B29" s="1" t="s">
        <v>394</v>
      </c>
      <c r="C29" s="1" t="s">
        <v>1104</v>
      </c>
      <c r="D29" s="1" t="s">
        <v>1105</v>
      </c>
      <c r="E29" s="1" t="str">
        <f>VLOOKUP(Table1[[#This Row],[Navn DK]],product_nodes_new_id!A:C,3,FALSE)</f>
        <v>386839f2-2395-4837-bed2-ac3f1bf6ffbd</v>
      </c>
      <c r="F29" s="1">
        <v>228.261403092991</v>
      </c>
      <c r="G29" s="1">
        <v>13.531849233391601</v>
      </c>
      <c r="H29" s="1">
        <v>0</v>
      </c>
      <c r="I29" s="1">
        <v>-3.14923925791985</v>
      </c>
      <c r="J29" s="1">
        <v>1</v>
      </c>
      <c r="K29" s="1" t="s">
        <v>68</v>
      </c>
      <c r="L29" s="1">
        <v>2000</v>
      </c>
      <c r="M29" s="1" t="s">
        <v>69</v>
      </c>
      <c r="N29" s="3" t="s">
        <v>1659</v>
      </c>
      <c r="O29" s="1"/>
    </row>
    <row r="30" spans="1:15" x14ac:dyDescent="0.25">
      <c r="A30" s="2" t="s">
        <v>519</v>
      </c>
      <c r="B30" s="1" t="s">
        <v>394</v>
      </c>
      <c r="C30" s="1" t="s">
        <v>520</v>
      </c>
      <c r="D30" s="1" t="s">
        <v>521</v>
      </c>
      <c r="E30" s="1" t="str">
        <f>VLOOKUP(Table1[[#This Row],[Navn DK]],product_nodes_new_id!A:C,3,FALSE)</f>
        <v>387e876c-20b8-44e1-abba-b462808b2856</v>
      </c>
      <c r="F30" s="1">
        <v>0.13260791412171699</v>
      </c>
      <c r="G30" s="1">
        <v>7.2729540686938899E-3</v>
      </c>
      <c r="H30" s="1">
        <v>0</v>
      </c>
      <c r="I30" s="1">
        <v>-1.4199948853088199E-3</v>
      </c>
      <c r="J30" s="1">
        <v>1</v>
      </c>
      <c r="K30" s="1" t="s">
        <v>17</v>
      </c>
      <c r="L30" s="1">
        <v>2400</v>
      </c>
      <c r="M30" s="1" t="s">
        <v>69</v>
      </c>
      <c r="N30" s="3" t="s">
        <v>1569</v>
      </c>
      <c r="O30" s="1"/>
    </row>
    <row r="31" spans="1:15" x14ac:dyDescent="0.25">
      <c r="A31" s="2" t="s">
        <v>161</v>
      </c>
      <c r="B31" s="1" t="s">
        <v>130</v>
      </c>
      <c r="C31" s="1" t="s">
        <v>22</v>
      </c>
      <c r="D31" s="1" t="s">
        <v>162</v>
      </c>
      <c r="E31" s="1" t="str">
        <f>VLOOKUP(Table1[[#This Row],[Navn DK]],product_nodes_new_id!A:C,3,FALSE)</f>
        <v>93e404e4-575c-45e9-bbb6-9d8892aa9772</v>
      </c>
      <c r="F31" s="1">
        <v>141.9</v>
      </c>
      <c r="G31" s="1">
        <v>3.7103813229571987</v>
      </c>
      <c r="H31" s="1">
        <v>2.7441361867704281</v>
      </c>
      <c r="I31" s="1">
        <v>-1.1926225680933853</v>
      </c>
      <c r="J31" s="1">
        <v>1</v>
      </c>
      <c r="K31" s="1" t="s">
        <v>159</v>
      </c>
      <c r="L31" s="1">
        <v>696</v>
      </c>
      <c r="M31" s="1" t="s">
        <v>160</v>
      </c>
      <c r="N31" s="3" t="s">
        <v>133</v>
      </c>
      <c r="O31" s="1"/>
    </row>
    <row r="32" spans="1:15" x14ac:dyDescent="0.25">
      <c r="A32" s="2" t="s">
        <v>728</v>
      </c>
      <c r="B32" s="1" t="s">
        <v>394</v>
      </c>
      <c r="C32" s="1" t="s">
        <v>729</v>
      </c>
      <c r="D32" s="1" t="s">
        <v>730</v>
      </c>
      <c r="E32" s="1" t="str">
        <f>VLOOKUP(Table1[[#This Row],[Navn DK]],product_nodes_new_id!A:C,3,FALSE)</f>
        <v>4380000d-b6c7-4ed2-a535-b844bedb16d8</v>
      </c>
      <c r="F32" s="1">
        <v>0.124475309355665</v>
      </c>
      <c r="G32" s="1">
        <v>7.3919647003698402E-3</v>
      </c>
      <c r="H32" s="1">
        <v>0</v>
      </c>
      <c r="I32" s="1">
        <v>-1.44323090284462E-3</v>
      </c>
      <c r="J32" s="1">
        <v>1</v>
      </c>
      <c r="K32" s="1" t="s">
        <v>17</v>
      </c>
      <c r="L32" s="1">
        <v>2400</v>
      </c>
      <c r="M32" s="1" t="s">
        <v>69</v>
      </c>
      <c r="N32" s="3" t="s">
        <v>1616</v>
      </c>
      <c r="O32" s="1"/>
    </row>
    <row r="33" spans="1:15" x14ac:dyDescent="0.25">
      <c r="A33" s="2" t="s">
        <v>1320</v>
      </c>
      <c r="B33" s="1" t="s">
        <v>394</v>
      </c>
      <c r="C33" s="1" t="s">
        <v>1321</v>
      </c>
      <c r="D33" s="1" t="s">
        <v>1322</v>
      </c>
      <c r="E33" s="1" t="str">
        <f>VLOOKUP(Table1[[#This Row],[Navn DK]],product_nodes_new_id!A:C,3,FALSE)</f>
        <v>d1888fa1-9628-4fe9-a68e-43affab2990a</v>
      </c>
      <c r="F33" s="1">
        <v>265.025463511954</v>
      </c>
      <c r="G33" s="1">
        <v>14.045878685231299</v>
      </c>
      <c r="H33" s="1">
        <v>0</v>
      </c>
      <c r="I33" s="1">
        <v>-2.7423624161947102</v>
      </c>
      <c r="J33" s="1">
        <v>1</v>
      </c>
      <c r="K33" s="1" t="s">
        <v>123</v>
      </c>
      <c r="L33" s="1">
        <v>1965</v>
      </c>
      <c r="M33" s="1" t="s">
        <v>124</v>
      </c>
      <c r="N33" s="3" t="s">
        <v>1678</v>
      </c>
      <c r="O33" s="1"/>
    </row>
    <row r="34" spans="1:15" x14ac:dyDescent="0.25">
      <c r="A34" s="2" t="s">
        <v>675</v>
      </c>
      <c r="B34" s="1" t="s">
        <v>394</v>
      </c>
      <c r="C34" s="1" t="s">
        <v>676</v>
      </c>
      <c r="D34" s="1" t="s">
        <v>677</v>
      </c>
      <c r="E34" s="1" t="str">
        <f>VLOOKUP(Table1[[#This Row],[Navn DK]],product_nodes_new_id!A:C,3,FALSE)</f>
        <v>4e07bcc8-e145-4e9e-a99e-19a2b06e541a</v>
      </c>
      <c r="F34" s="1">
        <v>8.1204169580794697E-2</v>
      </c>
      <c r="G34" s="1">
        <v>0</v>
      </c>
      <c r="H34" s="1">
        <v>0</v>
      </c>
      <c r="I34" s="1">
        <v>-1.70095082391599E-2</v>
      </c>
      <c r="J34" s="1">
        <v>1</v>
      </c>
      <c r="K34" s="1" t="s">
        <v>17</v>
      </c>
      <c r="L34" s="1">
        <v>210</v>
      </c>
      <c r="M34" s="1" t="s">
        <v>25</v>
      </c>
      <c r="N34" s="3" t="s">
        <v>1603</v>
      </c>
      <c r="O34" s="1"/>
    </row>
    <row r="35" spans="1:15" x14ac:dyDescent="0.25">
      <c r="A35" s="2" t="s">
        <v>469</v>
      </c>
      <c r="B35" s="1" t="s">
        <v>394</v>
      </c>
      <c r="C35" s="1" t="s">
        <v>470</v>
      </c>
      <c r="D35" s="1" t="s">
        <v>471</v>
      </c>
      <c r="E35" s="1" t="str">
        <f>VLOOKUP(Table1[[#This Row],[Navn DK]],product_nodes_new_id!A:C,3,FALSE)</f>
        <v>aaf0ff53-267d-4a7c-8c83-f18f73164eb9</v>
      </c>
      <c r="F35" s="1">
        <v>0.35629368557984598</v>
      </c>
      <c r="G35" s="1">
        <v>0</v>
      </c>
      <c r="H35" s="1">
        <v>9.1400857691650697E-2</v>
      </c>
      <c r="I35" s="1">
        <v>0</v>
      </c>
      <c r="J35" s="1">
        <v>1</v>
      </c>
      <c r="K35" s="1" t="s">
        <v>17</v>
      </c>
      <c r="L35" s="1">
        <v>1</v>
      </c>
      <c r="M35" s="1" t="s">
        <v>18</v>
      </c>
      <c r="N35" s="3" t="s">
        <v>1555</v>
      </c>
      <c r="O35" s="1"/>
    </row>
    <row r="36" spans="1:15" x14ac:dyDescent="0.25">
      <c r="A36" s="2" t="s">
        <v>687</v>
      </c>
      <c r="B36" s="1" t="s">
        <v>394</v>
      </c>
      <c r="C36" s="1" t="s">
        <v>688</v>
      </c>
      <c r="D36" s="1" t="s">
        <v>689</v>
      </c>
      <c r="E36" s="1" t="str">
        <f>VLOOKUP(Table1[[#This Row],[Navn DK]],product_nodes_new_id!A:C,3,FALSE)</f>
        <v>fa6c619d-f851-4c43-bb81-9f68639a26b4</v>
      </c>
      <c r="F36" s="1">
        <v>0.66778125456691195</v>
      </c>
      <c r="G36" s="1">
        <v>0</v>
      </c>
      <c r="H36" s="1">
        <v>9.1400857691650697E-2</v>
      </c>
      <c r="I36" s="1">
        <v>0</v>
      </c>
      <c r="J36" s="1">
        <v>1</v>
      </c>
      <c r="K36" s="1" t="s">
        <v>17</v>
      </c>
      <c r="L36" s="1">
        <v>1</v>
      </c>
      <c r="M36" s="1" t="s">
        <v>18</v>
      </c>
      <c r="N36" s="3" t="s">
        <v>1607</v>
      </c>
      <c r="O36" s="1"/>
    </row>
    <row r="37" spans="1:15" x14ac:dyDescent="0.25">
      <c r="A37" s="2" t="s">
        <v>438</v>
      </c>
      <c r="B37" s="1" t="s">
        <v>394</v>
      </c>
      <c r="C37" s="1" t="s">
        <v>439</v>
      </c>
      <c r="D37" s="1" t="s">
        <v>440</v>
      </c>
      <c r="E37" s="1" t="str">
        <f>VLOOKUP(Table1[[#This Row],[Navn DK]],product_nodes_new_id!A:C,3,FALSE)</f>
        <v>388b5a49-a64e-4d9b-b9a8-14d2be82b6ce</v>
      </c>
      <c r="F37" s="1">
        <v>1.2516170705024501</v>
      </c>
      <c r="G37" s="1">
        <v>0</v>
      </c>
      <c r="H37" s="1">
        <v>0</v>
      </c>
      <c r="I37" s="1">
        <v>1.5847449911034099</v>
      </c>
      <c r="J37" s="1">
        <v>1</v>
      </c>
      <c r="K37" s="1" t="s">
        <v>17</v>
      </c>
      <c r="L37" s="1">
        <v>11342</v>
      </c>
      <c r="M37" s="1" t="s">
        <v>69</v>
      </c>
      <c r="N37" s="3" t="s">
        <v>1550</v>
      </c>
      <c r="O37" s="1"/>
    </row>
    <row r="38" spans="1:15" x14ac:dyDescent="0.25">
      <c r="A38" s="2" t="s">
        <v>1420</v>
      </c>
      <c r="B38" s="1" t="s">
        <v>394</v>
      </c>
      <c r="C38" s="1" t="s">
        <v>1421</v>
      </c>
      <c r="D38" s="1" t="s">
        <v>1422</v>
      </c>
      <c r="E38" s="1" t="str">
        <f>VLOOKUP(Table1[[#This Row],[Navn DK]],product_nodes_new_id!A:C,3,FALSE)</f>
        <v>96e6fb26-af67-47e3-8660-10a8e841c52d</v>
      </c>
      <c r="F38" s="1">
        <v>342.63166082032501</v>
      </c>
      <c r="G38" s="1">
        <v>4.7488271299206897</v>
      </c>
      <c r="H38" s="1">
        <v>0.10633876466814</v>
      </c>
      <c r="I38" s="1">
        <v>-166.61684202409401</v>
      </c>
      <c r="J38" s="1">
        <v>1</v>
      </c>
      <c r="K38" s="1" t="s">
        <v>123</v>
      </c>
      <c r="L38" s="1">
        <v>68</v>
      </c>
      <c r="M38" s="1" t="s">
        <v>124</v>
      </c>
      <c r="N38" s="3" t="s">
        <v>1423</v>
      </c>
      <c r="O38" s="1"/>
    </row>
    <row r="39" spans="1:15" x14ac:dyDescent="0.25">
      <c r="A39" s="2" t="s">
        <v>1300</v>
      </c>
      <c r="B39" s="1" t="s">
        <v>394</v>
      </c>
      <c r="C39" s="1" t="s">
        <v>1301</v>
      </c>
      <c r="D39" s="1" t="s">
        <v>1302</v>
      </c>
      <c r="E39" s="1" t="str">
        <f>VLOOKUP(Table1[[#This Row],[Navn DK]],product_nodes_new_id!A:C,3,FALSE)</f>
        <v>84c0bbfa-2b56-430f-b24c-03357082b00f</v>
      </c>
      <c r="F39" s="1">
        <v>845.76764438636803</v>
      </c>
      <c r="G39" s="1">
        <v>11.7221786122428</v>
      </c>
      <c r="H39" s="1">
        <v>0.26195406050425701</v>
      </c>
      <c r="I39" s="1">
        <v>-410.61682617930899</v>
      </c>
      <c r="J39" s="1">
        <v>1</v>
      </c>
      <c r="K39" s="1" t="s">
        <v>123</v>
      </c>
      <c r="L39" s="1">
        <v>168</v>
      </c>
      <c r="M39" s="1" t="s">
        <v>124</v>
      </c>
      <c r="N39" s="3" t="s">
        <v>1303</v>
      </c>
      <c r="O39" s="1"/>
    </row>
    <row r="40" spans="1:15" x14ac:dyDescent="0.25">
      <c r="A40" s="2" t="s">
        <v>1385</v>
      </c>
      <c r="B40" s="1" t="s">
        <v>394</v>
      </c>
      <c r="C40" s="1" t="s">
        <v>1386</v>
      </c>
      <c r="D40" s="1" t="s">
        <v>1387</v>
      </c>
      <c r="E40" s="1" t="str">
        <f>VLOOKUP(Table1[[#This Row],[Navn DK]],product_nodes_new_id!A:C,3,FALSE)</f>
        <v>d1bc982b-9e0e-4a24-9d8d-ed13362e7adc</v>
      </c>
      <c r="F40" s="1">
        <v>216.80482264444399</v>
      </c>
      <c r="G40" s="1">
        <v>3.0046158059922701</v>
      </c>
      <c r="H40" s="1">
        <v>6.7194837106981306E-2</v>
      </c>
      <c r="I40" s="1">
        <v>-105.45591421303899</v>
      </c>
      <c r="J40" s="1">
        <v>1</v>
      </c>
      <c r="K40" s="1" t="s">
        <v>123</v>
      </c>
      <c r="L40" s="1">
        <v>43</v>
      </c>
      <c r="M40" s="1" t="s">
        <v>124</v>
      </c>
      <c r="N40" s="3" t="s">
        <v>1388</v>
      </c>
      <c r="O40" s="1"/>
    </row>
    <row r="41" spans="1:15" x14ac:dyDescent="0.25">
      <c r="A41" s="2" t="s">
        <v>714</v>
      </c>
      <c r="B41" s="1" t="s">
        <v>394</v>
      </c>
      <c r="C41" s="1" t="s">
        <v>715</v>
      </c>
      <c r="D41" s="1" t="s">
        <v>716</v>
      </c>
      <c r="E41" s="1" t="str">
        <f>VLOOKUP(Table1[[#This Row],[Navn DK]],product_nodes_new_id!A:C,3,FALSE)</f>
        <v>2fd013bd-def9-456d-b21f-0eef1ebc19f8</v>
      </c>
      <c r="F41" s="1">
        <v>-0.62842242778186497</v>
      </c>
      <c r="G41" s="1">
        <v>1.75733179363022</v>
      </c>
      <c r="H41" s="1">
        <v>0</v>
      </c>
      <c r="I41" s="1">
        <v>-0.49287905085938299</v>
      </c>
      <c r="J41" s="1">
        <v>1</v>
      </c>
      <c r="K41" s="1" t="s">
        <v>17</v>
      </c>
      <c r="L41" s="1">
        <v>1</v>
      </c>
      <c r="M41" s="1" t="s">
        <v>18</v>
      </c>
      <c r="N41" s="3" t="s">
        <v>1614</v>
      </c>
      <c r="O41" s="1"/>
    </row>
    <row r="42" spans="1:15" x14ac:dyDescent="0.25">
      <c r="A42" s="2" t="s">
        <v>566</v>
      </c>
      <c r="B42" s="1" t="s">
        <v>394</v>
      </c>
      <c r="C42" s="1" t="s">
        <v>567</v>
      </c>
      <c r="D42" s="1" t="s">
        <v>568</v>
      </c>
      <c r="E42" s="1" t="str">
        <f>VLOOKUP(Table1[[#This Row],[Navn DK]],product_nodes_new_id!A:C,3,FALSE)</f>
        <v>54b9c980-9155-4c2d-971d-fcca64286f7b</v>
      </c>
      <c r="F42" s="1">
        <v>-0.212240886588556</v>
      </c>
      <c r="G42" s="1">
        <v>1.75733179363022</v>
      </c>
      <c r="H42" s="1">
        <v>0</v>
      </c>
      <c r="I42" s="1">
        <v>-0.49287905085938299</v>
      </c>
      <c r="J42" s="1">
        <v>1</v>
      </c>
      <c r="K42" s="1" t="s">
        <v>17</v>
      </c>
      <c r="L42" s="1">
        <v>1</v>
      </c>
      <c r="M42" s="1" t="s">
        <v>18</v>
      </c>
      <c r="N42" s="3" t="s">
        <v>569</v>
      </c>
      <c r="O42" s="1"/>
    </row>
    <row r="43" spans="1:15" x14ac:dyDescent="0.25">
      <c r="A43" s="2" t="s">
        <v>690</v>
      </c>
      <c r="B43" s="1" t="s">
        <v>394</v>
      </c>
      <c r="C43" s="1" t="s">
        <v>691</v>
      </c>
      <c r="D43" s="1" t="s">
        <v>692</v>
      </c>
      <c r="E43" s="1" t="str">
        <f>VLOOKUP(Table1[[#This Row],[Navn DK]],product_nodes_new_id!A:C,3,FALSE)</f>
        <v>9a4f5da8-ce23-4757-a388-1331007691d8</v>
      </c>
      <c r="F43" s="1">
        <v>7.5838013142034404</v>
      </c>
      <c r="G43" s="1">
        <v>1.88307182208276</v>
      </c>
      <c r="H43" s="1">
        <v>0</v>
      </c>
      <c r="I43" s="1">
        <v>-3.9902456205861601</v>
      </c>
      <c r="J43" s="1">
        <v>1</v>
      </c>
      <c r="K43" s="1" t="s">
        <v>17</v>
      </c>
      <c r="L43" s="1">
        <v>1</v>
      </c>
      <c r="M43" s="1" t="s">
        <v>18</v>
      </c>
      <c r="N43" s="3" t="s">
        <v>1608</v>
      </c>
      <c r="O43" s="1"/>
    </row>
    <row r="44" spans="1:15" x14ac:dyDescent="0.25">
      <c r="A44" s="2" t="s">
        <v>529</v>
      </c>
      <c r="B44" s="1" t="s">
        <v>394</v>
      </c>
      <c r="C44" s="1" t="s">
        <v>530</v>
      </c>
      <c r="D44" s="1" t="s">
        <v>531</v>
      </c>
      <c r="E44" s="1" t="str">
        <f>VLOOKUP(Table1[[#This Row],[Navn DK]],product_nodes_new_id!A:C,3,FALSE)</f>
        <v>0678bd8c-be08-42da-b292-b43b46d64672</v>
      </c>
      <c r="F44" s="1">
        <v>3.8945313669230002</v>
      </c>
      <c r="G44" s="1">
        <v>3.9046971563284698</v>
      </c>
      <c r="H44" s="1">
        <v>0</v>
      </c>
      <c r="I44" s="1">
        <v>-1.24967628442423</v>
      </c>
      <c r="J44" s="1">
        <v>1</v>
      </c>
      <c r="K44" s="1" t="s">
        <v>17</v>
      </c>
      <c r="L44" s="1">
        <v>1</v>
      </c>
      <c r="M44" s="1" t="s">
        <v>18</v>
      </c>
      <c r="N44" s="3" t="s">
        <v>1571</v>
      </c>
      <c r="O44" s="1"/>
    </row>
    <row r="45" spans="1:15" x14ac:dyDescent="0.25">
      <c r="A45" s="2" t="s">
        <v>693</v>
      </c>
      <c r="B45" s="1" t="s">
        <v>394</v>
      </c>
      <c r="C45" s="1" t="s">
        <v>694</v>
      </c>
      <c r="D45" s="1" t="s">
        <v>695</v>
      </c>
      <c r="E45" s="1" t="str">
        <f>VLOOKUP(Table1[[#This Row],[Navn DK]],product_nodes_new_id!A:C,3,FALSE)</f>
        <v>5478b472-0d86-48bb-a969-c4f80f4c5ceb</v>
      </c>
      <c r="F45" s="1">
        <v>7.7477221962218596</v>
      </c>
      <c r="G45" s="1">
        <v>3.02233027444283</v>
      </c>
      <c r="H45" s="1">
        <v>0</v>
      </c>
      <c r="I45" s="1">
        <v>-2.3680764915546999</v>
      </c>
      <c r="J45" s="1">
        <v>1</v>
      </c>
      <c r="K45" s="1" t="s">
        <v>17</v>
      </c>
      <c r="L45" s="1">
        <v>1</v>
      </c>
      <c r="M45" s="1" t="s">
        <v>18</v>
      </c>
      <c r="N45" s="3" t="s">
        <v>1609</v>
      </c>
      <c r="O45" s="1"/>
    </row>
    <row r="46" spans="1:15" x14ac:dyDescent="0.25">
      <c r="A46" s="2" t="s">
        <v>525</v>
      </c>
      <c r="B46" s="1" t="s">
        <v>394</v>
      </c>
      <c r="C46" s="1" t="s">
        <v>526</v>
      </c>
      <c r="D46" s="1" t="s">
        <v>527</v>
      </c>
      <c r="E46" s="1" t="str">
        <f>VLOOKUP(Table1[[#This Row],[Navn DK]],product_nodes_new_id!A:C,3,FALSE)</f>
        <v>39b270d8-4c44-47f1-9c42-4f391fdc5278</v>
      </c>
      <c r="F46" s="1">
        <v>3.7030060887859002</v>
      </c>
      <c r="G46" s="1">
        <v>0</v>
      </c>
      <c r="H46" s="1">
        <v>0</v>
      </c>
      <c r="I46" s="1">
        <v>-1.34842900274982</v>
      </c>
      <c r="J46" s="1">
        <v>1</v>
      </c>
      <c r="K46" s="1" t="s">
        <v>17</v>
      </c>
      <c r="L46" s="1">
        <v>7850</v>
      </c>
      <c r="M46" s="1" t="s">
        <v>69</v>
      </c>
      <c r="N46" s="3" t="s">
        <v>528</v>
      </c>
      <c r="O46" s="1"/>
    </row>
    <row r="47" spans="1:15" x14ac:dyDescent="0.25">
      <c r="A47" s="2" t="s">
        <v>602</v>
      </c>
      <c r="B47" s="1" t="s">
        <v>394</v>
      </c>
      <c r="C47" s="1" t="s">
        <v>603</v>
      </c>
      <c r="D47" s="1" t="s">
        <v>604</v>
      </c>
      <c r="E47" s="1" t="str">
        <f>VLOOKUP(Table1[[#This Row],[Navn DK]],product_nodes_new_id!A:C,3,FALSE)</f>
        <v>c2190388-b3c0-4338-9995-0ff3bf23d4ae</v>
      </c>
      <c r="F47" s="1">
        <v>3.99668740796676</v>
      </c>
      <c r="G47" s="1">
        <v>0.57234102612517401</v>
      </c>
      <c r="H47" s="1">
        <v>8.8005176482234605E-4</v>
      </c>
      <c r="I47" s="1">
        <v>-1.0611539493058899</v>
      </c>
      <c r="J47" s="1">
        <v>1</v>
      </c>
      <c r="K47" s="1" t="s">
        <v>17</v>
      </c>
      <c r="L47" s="1">
        <v>1</v>
      </c>
      <c r="M47" s="1" t="s">
        <v>18</v>
      </c>
      <c r="N47" s="3" t="s">
        <v>1584</v>
      </c>
      <c r="O47" s="1"/>
    </row>
    <row r="48" spans="1:15" x14ac:dyDescent="0.25">
      <c r="A48" s="2" t="s">
        <v>466</v>
      </c>
      <c r="B48" s="1" t="s">
        <v>394</v>
      </c>
      <c r="C48" s="1" t="s">
        <v>467</v>
      </c>
      <c r="D48" s="1" t="s">
        <v>468</v>
      </c>
      <c r="E48" s="1" t="str">
        <f>VLOOKUP(Table1[[#This Row],[Navn DK]],product_nodes_new_id!A:C,3,FALSE)</f>
        <v>98daa7f3-7499-45f7-a84a-38049469fe18</v>
      </c>
      <c r="F48" s="1">
        <v>2.9953227520113002</v>
      </c>
      <c r="G48" s="1">
        <v>0.57234102612517401</v>
      </c>
      <c r="H48" s="1">
        <v>8.8005176482234605E-4</v>
      </c>
      <c r="I48" s="1">
        <v>-1.1553203464410999</v>
      </c>
      <c r="J48" s="1">
        <v>1</v>
      </c>
      <c r="K48" s="1" t="s">
        <v>17</v>
      </c>
      <c r="L48" s="1">
        <v>1</v>
      </c>
      <c r="M48" s="1" t="s">
        <v>18</v>
      </c>
      <c r="N48" s="3" t="s">
        <v>1554</v>
      </c>
      <c r="O48" s="1"/>
    </row>
    <row r="49" spans="1:15" x14ac:dyDescent="0.25">
      <c r="A49" s="2" t="s">
        <v>824</v>
      </c>
      <c r="B49" s="1" t="s">
        <v>394</v>
      </c>
      <c r="C49" s="1" t="s">
        <v>825</v>
      </c>
      <c r="D49" s="1" t="s">
        <v>826</v>
      </c>
      <c r="E49" s="1" t="str">
        <f>VLOOKUP(Table1[[#This Row],[Navn DK]],product_nodes_new_id!A:C,3,FALSE)</f>
        <v>4f37a903-3529-4c95-8426-e6bb19ba9c0d</v>
      </c>
      <c r="F49" s="1">
        <v>-8.6348589471658105E-2</v>
      </c>
      <c r="G49" s="1">
        <v>0.121911106445072</v>
      </c>
      <c r="H49" s="1">
        <v>0</v>
      </c>
      <c r="I49" s="1">
        <v>-3.4188142256142202E-2</v>
      </c>
      <c r="J49" s="1">
        <v>1</v>
      </c>
      <c r="K49" s="1" t="s">
        <v>24</v>
      </c>
      <c r="L49" s="1">
        <v>0.08</v>
      </c>
      <c r="M49" s="1" t="s">
        <v>25</v>
      </c>
      <c r="N49" s="3" t="s">
        <v>1627</v>
      </c>
      <c r="O49" s="1"/>
    </row>
    <row r="50" spans="1:15" x14ac:dyDescent="0.25">
      <c r="A50" s="2" t="s">
        <v>431</v>
      </c>
      <c r="B50" s="1" t="s">
        <v>394</v>
      </c>
      <c r="C50" s="1" t="s">
        <v>432</v>
      </c>
      <c r="D50" s="1" t="s">
        <v>433</v>
      </c>
      <c r="E50" s="1" t="str">
        <f>VLOOKUP(Table1[[#This Row],[Navn DK]],product_nodes_new_id!A:C,3,FALSE)</f>
        <v>9d301e29-24ae-454a-a343-6f4099e6c191</v>
      </c>
      <c r="F50" s="1">
        <v>7.9779798991164705E-2</v>
      </c>
      <c r="G50" s="1">
        <v>0</v>
      </c>
      <c r="H50" s="1">
        <v>0</v>
      </c>
      <c r="I50" s="1">
        <v>-1.70095082391599E-2</v>
      </c>
      <c r="J50" s="1">
        <v>1</v>
      </c>
      <c r="K50" s="1" t="s">
        <v>17</v>
      </c>
      <c r="L50" s="1">
        <v>1</v>
      </c>
      <c r="M50" s="1" t="s">
        <v>18</v>
      </c>
      <c r="N50" s="3" t="s">
        <v>1549</v>
      </c>
      <c r="O50" s="1"/>
    </row>
    <row r="51" spans="1:15" x14ac:dyDescent="0.25">
      <c r="A51" s="2" t="s">
        <v>401</v>
      </c>
      <c r="B51" s="1" t="s">
        <v>394</v>
      </c>
      <c r="C51" s="1" t="s">
        <v>402</v>
      </c>
      <c r="D51" s="1" t="s">
        <v>403</v>
      </c>
      <c r="E51" s="1" t="str">
        <f>VLOOKUP(Table1[[#This Row],[Navn DK]],product_nodes_new_id!A:C,3,FALSE)</f>
        <v>ad182920-8d0c-4a72-94d5-e950b25bfac1</v>
      </c>
      <c r="F51" s="1">
        <v>1.43</v>
      </c>
      <c r="G51" s="1">
        <v>2.4099999999999998E-3</v>
      </c>
      <c r="H51" s="1">
        <v>1.5299999999999999E-2</v>
      </c>
      <c r="I51" s="1">
        <v>-0.17730000000000001</v>
      </c>
      <c r="J51" s="1">
        <v>1</v>
      </c>
      <c r="K51" s="1" t="s">
        <v>17</v>
      </c>
      <c r="L51" s="1">
        <v>115</v>
      </c>
      <c r="M51" s="1" t="s">
        <v>69</v>
      </c>
      <c r="N51" s="15" t="s">
        <v>404</v>
      </c>
      <c r="O51" s="1"/>
    </row>
    <row r="52" spans="1:15" x14ac:dyDescent="0.25">
      <c r="A52" s="2" t="s">
        <v>398</v>
      </c>
      <c r="B52" s="1" t="s">
        <v>394</v>
      </c>
      <c r="C52" s="1" t="s">
        <v>399</v>
      </c>
      <c r="D52" s="1" t="s">
        <v>1697</v>
      </c>
      <c r="E52" s="1" t="str">
        <f>VLOOKUP(Table1[[#This Row],[Navn DK]],product_nodes_new_id!A:C,3,FALSE)</f>
        <v>bb1b9980-99cd-4cbe-a4bc-cc18eb1fe793</v>
      </c>
      <c r="F52" s="1">
        <v>1.45</v>
      </c>
      <c r="G52" s="1">
        <v>2.738E-3</v>
      </c>
      <c r="H52" s="1">
        <v>1.529E-2</v>
      </c>
      <c r="I52" s="1">
        <v>-0.20039999999999999</v>
      </c>
      <c r="J52" s="1">
        <v>1</v>
      </c>
      <c r="K52" s="1" t="s">
        <v>17</v>
      </c>
      <c r="L52" s="1">
        <v>165</v>
      </c>
      <c r="M52" s="1" t="s">
        <v>69</v>
      </c>
      <c r="N52" s="15" t="s">
        <v>400</v>
      </c>
      <c r="O52" s="1"/>
    </row>
    <row r="53" spans="1:15" x14ac:dyDescent="0.25">
      <c r="A53" s="2" t="s">
        <v>377</v>
      </c>
      <c r="B53" s="1" t="s">
        <v>130</v>
      </c>
      <c r="C53" s="1" t="s">
        <v>22</v>
      </c>
      <c r="D53" s="1" t="s">
        <v>378</v>
      </c>
      <c r="E53" s="1" t="str">
        <f>VLOOKUP(Table1[[#This Row],[Navn DK]],product_nodes_new_id!A:C,3,FALSE)</f>
        <v>79ba481d-6e5a-42f7-807e-d820d9d0fa7f</v>
      </c>
      <c r="F53" s="1">
        <v>1017.5000000000001</v>
      </c>
      <c r="G53" s="1">
        <v>0</v>
      </c>
      <c r="H53" s="1">
        <v>0</v>
      </c>
      <c r="I53" s="1">
        <v>0</v>
      </c>
      <c r="J53" s="1">
        <v>1</v>
      </c>
      <c r="K53" s="1" t="s">
        <v>339</v>
      </c>
      <c r="L53" s="1">
        <v>3100</v>
      </c>
      <c r="M53" s="1" t="s">
        <v>69</v>
      </c>
      <c r="N53" s="3" t="s">
        <v>133</v>
      </c>
      <c r="O53" s="1"/>
    </row>
    <row r="54" spans="1:15" x14ac:dyDescent="0.25">
      <c r="A54" s="2" t="s">
        <v>379</v>
      </c>
      <c r="B54" s="1" t="s">
        <v>130</v>
      </c>
      <c r="C54" s="1" t="s">
        <v>22</v>
      </c>
      <c r="D54" s="1" t="s">
        <v>380</v>
      </c>
      <c r="E54" s="1" t="str">
        <f>VLOOKUP(Table1[[#This Row],[Navn DK]],product_nodes_new_id!A:C,3,FALSE)</f>
        <v>9e9412f8-d3da-4abc-8771-cf3fefac7d6d</v>
      </c>
      <c r="F54" s="1">
        <v>1144</v>
      </c>
      <c r="G54" s="1">
        <v>0</v>
      </c>
      <c r="H54" s="1">
        <v>0</v>
      </c>
      <c r="I54" s="1">
        <v>0</v>
      </c>
      <c r="J54" s="1">
        <v>1</v>
      </c>
      <c r="K54" s="1" t="s">
        <v>339</v>
      </c>
      <c r="L54" s="1">
        <v>3100</v>
      </c>
      <c r="M54" s="1" t="s">
        <v>69</v>
      </c>
      <c r="N54" s="3" t="s">
        <v>133</v>
      </c>
      <c r="O54" s="1"/>
    </row>
    <row r="55" spans="1:15" x14ac:dyDescent="0.25">
      <c r="A55" s="2" t="s">
        <v>1065</v>
      </c>
      <c r="B55" s="1" t="s">
        <v>394</v>
      </c>
      <c r="C55" s="1" t="s">
        <v>1066</v>
      </c>
      <c r="D55" s="1" t="s">
        <v>1067</v>
      </c>
      <c r="E55" s="1" t="str">
        <f>VLOOKUP(Table1[[#This Row],[Navn DK]],product_nodes_new_id!A:C,3,FALSE)</f>
        <v>bb95eef6-4ad1-47fb-82ec-ed1838b66f62</v>
      </c>
      <c r="F55" s="1">
        <v>1721.44981998355</v>
      </c>
      <c r="G55" s="1">
        <v>233.13469258466901</v>
      </c>
      <c r="H55" s="1">
        <v>0</v>
      </c>
      <c r="I55" s="1">
        <v>-64.957470286670102</v>
      </c>
      <c r="J55" s="1">
        <v>1</v>
      </c>
      <c r="K55" s="1" t="s">
        <v>68</v>
      </c>
      <c r="L55" s="1">
        <v>1200</v>
      </c>
      <c r="M55" s="1" t="s">
        <v>69</v>
      </c>
      <c r="N55" s="3" t="s">
        <v>1068</v>
      </c>
      <c r="O55" s="1"/>
    </row>
    <row r="56" spans="1:15" x14ac:dyDescent="0.25">
      <c r="A56" s="2" t="s">
        <v>1327</v>
      </c>
      <c r="B56" s="1" t="s">
        <v>394</v>
      </c>
      <c r="C56" s="1" t="s">
        <v>1328</v>
      </c>
      <c r="D56" s="1" t="s">
        <v>1329</v>
      </c>
      <c r="E56" s="1" t="str">
        <f>VLOOKUP(Table1[[#This Row],[Navn DK]],product_nodes_new_id!A:C,3,FALSE)</f>
        <v>e2b04c88-cc2b-40eb-b290-fb1eb8d9b632</v>
      </c>
      <c r="F56" s="1">
        <v>12.443216382542801</v>
      </c>
      <c r="G56" s="1">
        <v>0.42647457462251998</v>
      </c>
      <c r="H56" s="1">
        <v>3.03549552812842E-2</v>
      </c>
      <c r="I56" s="1">
        <v>-2.0398001807083102</v>
      </c>
      <c r="J56" s="1">
        <v>1</v>
      </c>
      <c r="K56" s="1" t="s">
        <v>123</v>
      </c>
      <c r="L56" s="1">
        <v>2.4700000000000002</v>
      </c>
      <c r="M56" s="1" t="s">
        <v>124</v>
      </c>
      <c r="N56" s="3" t="s">
        <v>1330</v>
      </c>
      <c r="O56" s="1"/>
    </row>
    <row r="57" spans="1:15" x14ac:dyDescent="0.25">
      <c r="A57" s="2" t="s">
        <v>1343</v>
      </c>
      <c r="B57" s="1" t="s">
        <v>394</v>
      </c>
      <c r="C57" s="1" t="s">
        <v>1344</v>
      </c>
      <c r="D57" s="1" t="s">
        <v>1345</v>
      </c>
      <c r="E57" s="1" t="str">
        <f>VLOOKUP(Table1[[#This Row],[Navn DK]],product_nodes_new_id!A:C,3,FALSE)</f>
        <v>06f55562-3064-4ae8-a3f3-4e26f465c1da</v>
      </c>
      <c r="F57" s="1">
        <v>124.43216382542801</v>
      </c>
      <c r="G57" s="1">
        <v>4.2647457462252003</v>
      </c>
      <c r="H57" s="1">
        <v>0.30354955281284202</v>
      </c>
      <c r="I57" s="1">
        <v>-20.398001807083102</v>
      </c>
      <c r="J57" s="1">
        <v>1</v>
      </c>
      <c r="K57" s="1" t="s">
        <v>123</v>
      </c>
      <c r="L57" s="1">
        <v>24.7</v>
      </c>
      <c r="M57" s="1" t="s">
        <v>124</v>
      </c>
      <c r="N57" s="3" t="s">
        <v>1346</v>
      </c>
      <c r="O57" s="1"/>
    </row>
    <row r="58" spans="1:15" x14ac:dyDescent="0.25">
      <c r="A58" s="2" t="s">
        <v>1381</v>
      </c>
      <c r="B58" s="1" t="s">
        <v>394</v>
      </c>
      <c r="C58" s="1" t="s">
        <v>1382</v>
      </c>
      <c r="D58" s="1" t="s">
        <v>1383</v>
      </c>
      <c r="E58" s="1" t="str">
        <f>VLOOKUP(Table1[[#This Row],[Navn DK]],product_nodes_new_id!A:C,3,FALSE)</f>
        <v>7c87a28d-ceea-4cc5-a78d-597cb5a99e04</v>
      </c>
      <c r="F58" s="1">
        <v>24.886432765085502</v>
      </c>
      <c r="G58" s="1">
        <v>0.85294914924503995</v>
      </c>
      <c r="H58" s="1">
        <v>6.0709910562568498E-2</v>
      </c>
      <c r="I58" s="1">
        <v>-4.0796003614166203</v>
      </c>
      <c r="J58" s="1">
        <v>1</v>
      </c>
      <c r="K58" s="1" t="s">
        <v>123</v>
      </c>
      <c r="L58" s="1">
        <v>4.9400000000000004</v>
      </c>
      <c r="M58" s="1" t="s">
        <v>124</v>
      </c>
      <c r="N58" s="3" t="s">
        <v>1384</v>
      </c>
      <c r="O58" s="1"/>
    </row>
    <row r="59" spans="1:15" x14ac:dyDescent="0.25">
      <c r="A59" s="2" t="s">
        <v>13</v>
      </c>
      <c r="B59" s="1" t="s">
        <v>14</v>
      </c>
      <c r="C59" s="1" t="s">
        <v>15</v>
      </c>
      <c r="D59" s="1" t="s">
        <v>16</v>
      </c>
      <c r="E59" s="1" t="str">
        <f>VLOOKUP(Table1[[#This Row],[Navn DK]],product_nodes_new_id!A:C,3,FALSE)</f>
        <v>790cfa2b-b637-46e7-8196-9ca74c67f1bb</v>
      </c>
      <c r="F59" s="1">
        <v>3.82</v>
      </c>
      <c r="G59" s="1">
        <v>5.3499999999999999E-2</v>
      </c>
      <c r="H59" s="1">
        <v>1.1999999999999999E-3</v>
      </c>
      <c r="I59" s="1">
        <v>-1.49</v>
      </c>
      <c r="J59" s="1">
        <v>1</v>
      </c>
      <c r="K59" s="1" t="s">
        <v>17</v>
      </c>
      <c r="L59" s="1">
        <v>1</v>
      </c>
      <c r="M59" s="1" t="s">
        <v>18</v>
      </c>
      <c r="N59" s="3" t="s">
        <v>19</v>
      </c>
      <c r="O59" s="1"/>
    </row>
    <row r="60" spans="1:15" x14ac:dyDescent="0.25">
      <c r="A60" s="2" t="s">
        <v>750</v>
      </c>
      <c r="B60" s="1" t="s">
        <v>394</v>
      </c>
      <c r="C60" s="1" t="s">
        <v>751</v>
      </c>
      <c r="D60" s="1" t="s">
        <v>752</v>
      </c>
      <c r="E60" s="1" t="str">
        <f>VLOOKUP(Table1[[#This Row],[Navn DK]],product_nodes_new_id!A:C,3,FALSE)</f>
        <v>98646d08-4cd7-40ef-97a9-00e1708c83d6</v>
      </c>
      <c r="F60" s="1">
        <v>1.0555886361086999</v>
      </c>
      <c r="G60" s="1">
        <v>0.55477391883946903</v>
      </c>
      <c r="H60" s="1">
        <v>0</v>
      </c>
      <c r="I60" s="1">
        <v>-0.19619497575589201</v>
      </c>
      <c r="J60" s="1">
        <v>1</v>
      </c>
      <c r="K60" s="1" t="s">
        <v>159</v>
      </c>
      <c r="L60" s="1">
        <v>0.18</v>
      </c>
      <c r="M60" s="1" t="s">
        <v>160</v>
      </c>
      <c r="N60" s="3" t="s">
        <v>1620</v>
      </c>
      <c r="O60" s="1"/>
    </row>
    <row r="61" spans="1:15" x14ac:dyDescent="0.25">
      <c r="A61" s="2" t="s">
        <v>935</v>
      </c>
      <c r="B61" s="1" t="s">
        <v>394</v>
      </c>
      <c r="C61" s="1" t="s">
        <v>936</v>
      </c>
      <c r="D61" s="1" t="s">
        <v>937</v>
      </c>
      <c r="E61" s="1" t="str">
        <f>VLOOKUP(Table1[[#This Row],[Navn DK]],product_nodes_new_id!A:C,3,FALSE)</f>
        <v>3902d036-283c-4eee-b825-0e3d1b1d05f7</v>
      </c>
      <c r="F61" s="1">
        <v>119.982477276482</v>
      </c>
      <c r="G61" s="1">
        <v>6.2130038660793696</v>
      </c>
      <c r="H61" s="1">
        <v>0.450596485309465</v>
      </c>
      <c r="I61" s="1">
        <v>-33.448274852937701</v>
      </c>
      <c r="J61" s="1">
        <v>1</v>
      </c>
      <c r="K61" s="1" t="s">
        <v>24</v>
      </c>
      <c r="L61" s="1">
        <v>16.5</v>
      </c>
      <c r="M61" s="1" t="s">
        <v>25</v>
      </c>
      <c r="N61" s="3" t="s">
        <v>938</v>
      </c>
      <c r="O61" s="1"/>
    </row>
    <row r="62" spans="1:15" x14ac:dyDescent="0.25">
      <c r="A62" s="2" t="s">
        <v>973</v>
      </c>
      <c r="B62" s="1" t="s">
        <v>394</v>
      </c>
      <c r="C62" s="1" t="s">
        <v>974</v>
      </c>
      <c r="D62" s="1" t="s">
        <v>975</v>
      </c>
      <c r="E62" s="1" t="str">
        <f>VLOOKUP(Table1[[#This Row],[Navn DK]],product_nodes_new_id!A:C,3,FALSE)</f>
        <v>67a35653-ccc0-4bd6-bda9-dd7ddd78a88b</v>
      </c>
      <c r="F62" s="1">
        <v>95.928580726174204</v>
      </c>
      <c r="G62" s="1">
        <v>6.2130038660793696</v>
      </c>
      <c r="H62" s="1">
        <v>0.450596485309465</v>
      </c>
      <c r="I62" s="1">
        <v>-13.954595478758501</v>
      </c>
      <c r="J62" s="1">
        <v>1</v>
      </c>
      <c r="K62" s="1" t="s">
        <v>24</v>
      </c>
      <c r="L62" s="1">
        <v>21.4</v>
      </c>
      <c r="M62" s="1" t="s">
        <v>25</v>
      </c>
      <c r="N62" s="15" t="s">
        <v>976</v>
      </c>
      <c r="O62" s="1"/>
    </row>
    <row r="63" spans="1:15" x14ac:dyDescent="0.25">
      <c r="A63" s="2" t="s">
        <v>793</v>
      </c>
      <c r="B63" s="1" t="s">
        <v>394</v>
      </c>
      <c r="C63" s="1" t="s">
        <v>794</v>
      </c>
      <c r="D63" s="1" t="s">
        <v>795</v>
      </c>
      <c r="E63" s="1" t="str">
        <f>VLOOKUP(Table1[[#This Row],[Navn DK]],product_nodes_new_id!A:C,3,FALSE)</f>
        <v>eb4da4a1-ac8d-4372-ac31-88f008adf74c</v>
      </c>
      <c r="F63" s="1">
        <v>54.663009741186997</v>
      </c>
      <c r="G63" s="1">
        <v>3.4269034777029699</v>
      </c>
      <c r="H63" s="1">
        <v>0</v>
      </c>
      <c r="I63" s="1">
        <v>-32.4801285174144</v>
      </c>
      <c r="J63" s="1">
        <v>1</v>
      </c>
      <c r="K63" s="1" t="s">
        <v>159</v>
      </c>
      <c r="L63" s="1">
        <v>5.7</v>
      </c>
      <c r="M63" s="1" t="s">
        <v>160</v>
      </c>
      <c r="N63" s="3" t="s">
        <v>796</v>
      </c>
      <c r="O63" s="1"/>
    </row>
    <row r="64" spans="1:15" x14ac:dyDescent="0.25">
      <c r="A64" s="2" t="s">
        <v>800</v>
      </c>
      <c r="B64" s="1" t="s">
        <v>394</v>
      </c>
      <c r="C64" s="1" t="s">
        <v>801</v>
      </c>
      <c r="D64" s="1" t="s">
        <v>802</v>
      </c>
      <c r="E64" s="1" t="str">
        <f>VLOOKUP(Table1[[#This Row],[Navn DK]],product_nodes_new_id!A:C,3,FALSE)</f>
        <v>97879a2e-da34-4e24-9004-3d4048f4e01a</v>
      </c>
      <c r="F64" s="1">
        <v>36.147057248384002</v>
      </c>
      <c r="G64" s="1">
        <v>3.4269034777029699</v>
      </c>
      <c r="H64" s="1">
        <v>0</v>
      </c>
      <c r="I64" s="1">
        <v>-13.7156997862362</v>
      </c>
      <c r="J64" s="1">
        <v>1</v>
      </c>
      <c r="K64" s="1" t="s">
        <v>159</v>
      </c>
      <c r="L64" s="1">
        <v>9.48</v>
      </c>
      <c r="M64" s="1" t="s">
        <v>160</v>
      </c>
      <c r="N64" s="3" t="s">
        <v>1626</v>
      </c>
      <c r="O64" s="1"/>
    </row>
    <row r="65" spans="1:15" x14ac:dyDescent="0.25">
      <c r="A65" s="2" t="s">
        <v>827</v>
      </c>
      <c r="B65" s="1" t="s">
        <v>394</v>
      </c>
      <c r="C65" s="1" t="s">
        <v>828</v>
      </c>
      <c r="D65" s="1" t="s">
        <v>829</v>
      </c>
      <c r="E65" s="1" t="str">
        <f>VLOOKUP(Table1[[#This Row],[Navn DK]],product_nodes_new_id!A:C,3,FALSE)</f>
        <v>2cf9be3e-c9ee-41a4-b46b-ed0c92aa5321</v>
      </c>
      <c r="F65" s="1">
        <v>0.57121483541046603</v>
      </c>
      <c r="G65" s="1">
        <v>0.21953792306091599</v>
      </c>
      <c r="H65" s="1">
        <v>0</v>
      </c>
      <c r="I65" s="1">
        <v>-6.2543273331798696E-2</v>
      </c>
      <c r="J65" s="1">
        <v>1</v>
      </c>
      <c r="K65" s="1" t="s">
        <v>24</v>
      </c>
      <c r="L65" s="1">
        <v>0.08</v>
      </c>
      <c r="M65" s="1" t="s">
        <v>25</v>
      </c>
      <c r="N65" s="3" t="s">
        <v>1628</v>
      </c>
      <c r="O65" s="1"/>
    </row>
    <row r="66" spans="1:15" x14ac:dyDescent="0.25">
      <c r="A66" s="2" t="s">
        <v>848</v>
      </c>
      <c r="B66" s="1" t="s">
        <v>394</v>
      </c>
      <c r="C66" s="1" t="s">
        <v>849</v>
      </c>
      <c r="D66" s="1" t="s">
        <v>850</v>
      </c>
      <c r="E66" s="1" t="str">
        <f>VLOOKUP(Table1[[#This Row],[Navn DK]],product_nodes_new_id!A:C,3,FALSE)</f>
        <v>2af1448a-d57d-49ab-a22e-f1b2c7af218c</v>
      </c>
      <c r="F66" s="1">
        <v>0.39508174607608498</v>
      </c>
      <c r="G66" s="1">
        <v>0.55559660783366105</v>
      </c>
      <c r="H66" s="1">
        <v>0</v>
      </c>
      <c r="I66" s="1">
        <v>-0.22959480803490501</v>
      </c>
      <c r="J66" s="1">
        <v>1</v>
      </c>
      <c r="K66" s="1" t="s">
        <v>24</v>
      </c>
      <c r="L66" s="1">
        <v>0.2</v>
      </c>
      <c r="M66" s="1" t="s">
        <v>25</v>
      </c>
      <c r="N66" s="3" t="s">
        <v>851</v>
      </c>
      <c r="O66" s="1"/>
    </row>
    <row r="67" spans="1:15" x14ac:dyDescent="0.25">
      <c r="A67" s="2" t="s">
        <v>1007</v>
      </c>
      <c r="B67" s="1" t="s">
        <v>394</v>
      </c>
      <c r="C67" s="1" t="s">
        <v>1008</v>
      </c>
      <c r="D67" s="1" t="s">
        <v>1009</v>
      </c>
      <c r="E67" s="1" t="str">
        <f>VLOOKUP(Table1[[#This Row],[Navn DK]],product_nodes_new_id!A:C,3,FALSE)</f>
        <v>3146eb72-5b16-427f-a7d6-8f7040f3d5e9</v>
      </c>
      <c r="F67" s="1">
        <v>2.2315455775722199</v>
      </c>
      <c r="G67" s="1">
        <v>0</v>
      </c>
      <c r="H67" s="1">
        <v>0.42153814208020302</v>
      </c>
      <c r="I67" s="1">
        <v>0</v>
      </c>
      <c r="J67" s="1">
        <v>0.999999999999998</v>
      </c>
      <c r="K67" s="1" t="s">
        <v>24</v>
      </c>
      <c r="L67" s="1">
        <v>5</v>
      </c>
      <c r="M67" s="1" t="s">
        <v>25</v>
      </c>
      <c r="N67" s="3" t="s">
        <v>1010</v>
      </c>
      <c r="O67" s="1"/>
    </row>
    <row r="68" spans="1:15" x14ac:dyDescent="0.25">
      <c r="A68" s="2" t="s">
        <v>1221</v>
      </c>
      <c r="B68" s="1" t="s">
        <v>394</v>
      </c>
      <c r="C68" s="1" t="s">
        <v>1222</v>
      </c>
      <c r="D68" s="1" t="s">
        <v>1223</v>
      </c>
      <c r="E68" s="1" t="str">
        <f>VLOOKUP(Table1[[#This Row],[Navn DK]],product_nodes_new_id!A:C,3,FALSE)</f>
        <v>2b3547bc-8d4e-496c-a715-c97ca3667e60</v>
      </c>
      <c r="F68" s="1">
        <v>25.1677296931611</v>
      </c>
      <c r="G68" s="1">
        <v>4.4734171636392404</v>
      </c>
      <c r="H68" s="1">
        <v>6.5444005774209599E-2</v>
      </c>
      <c r="I68" s="1">
        <v>-9.0274470722647209</v>
      </c>
      <c r="J68" s="1">
        <v>1</v>
      </c>
      <c r="K68" s="1" t="s">
        <v>123</v>
      </c>
      <c r="L68" s="1">
        <v>3.6909999999999998</v>
      </c>
      <c r="M68" s="1" t="s">
        <v>124</v>
      </c>
      <c r="N68" s="3" t="s">
        <v>1224</v>
      </c>
      <c r="O68" s="1"/>
    </row>
    <row r="69" spans="1:15" x14ac:dyDescent="0.25">
      <c r="A69" s="2" t="s">
        <v>609</v>
      </c>
      <c r="B69" s="1" t="s">
        <v>394</v>
      </c>
      <c r="C69" s="1" t="s">
        <v>610</v>
      </c>
      <c r="D69" s="1" t="s">
        <v>611</v>
      </c>
      <c r="E69" s="1" t="str">
        <f>VLOOKUP(Table1[[#This Row],[Navn DK]],product_nodes_new_id!A:C,3,FALSE)</f>
        <v>8386329a-bef5-4af1-9684-97d0467caa7f</v>
      </c>
      <c r="F69" s="1">
        <v>4.8267612519758396</v>
      </c>
      <c r="G69" s="1">
        <v>0</v>
      </c>
      <c r="H69" s="1">
        <v>0</v>
      </c>
      <c r="I69" s="1">
        <v>-3.9977773578848099</v>
      </c>
      <c r="J69" s="1">
        <v>1</v>
      </c>
      <c r="K69" s="1" t="s">
        <v>17</v>
      </c>
      <c r="L69" s="1">
        <v>1</v>
      </c>
      <c r="M69" s="1" t="s">
        <v>18</v>
      </c>
      <c r="N69" s="3" t="s">
        <v>1585</v>
      </c>
      <c r="O69" s="1"/>
    </row>
    <row r="70" spans="1:15" x14ac:dyDescent="0.25">
      <c r="A70" s="2" t="s">
        <v>1229</v>
      </c>
      <c r="B70" s="1" t="s">
        <v>394</v>
      </c>
      <c r="C70" s="1" t="s">
        <v>1230</v>
      </c>
      <c r="D70" s="1" t="s">
        <v>1231</v>
      </c>
      <c r="E70" s="1" t="str">
        <f>VLOOKUP(Table1[[#This Row],[Navn DK]],product_nodes_new_id!A:C,3,FALSE)</f>
        <v>cd2bc964-0756-44f7-890f-0c429cb01d64</v>
      </c>
      <c r="F70" s="1">
        <v>255.7</v>
      </c>
      <c r="G70" s="1">
        <v>0</v>
      </c>
      <c r="H70" s="1">
        <v>0.224</v>
      </c>
      <c r="I70" s="1">
        <v>103</v>
      </c>
      <c r="J70" s="1">
        <v>1</v>
      </c>
      <c r="K70" s="1" t="s">
        <v>123</v>
      </c>
      <c r="L70" s="1">
        <v>73.046000000000006</v>
      </c>
      <c r="M70" s="1" t="s">
        <v>124</v>
      </c>
      <c r="N70" s="3" t="s">
        <v>1232</v>
      </c>
      <c r="O70" s="1"/>
    </row>
    <row r="71" spans="1:15" x14ac:dyDescent="0.25">
      <c r="A71" s="2" t="s">
        <v>952</v>
      </c>
      <c r="B71" s="1" t="s">
        <v>394</v>
      </c>
      <c r="C71" s="1" t="s">
        <v>953</v>
      </c>
      <c r="D71" s="1" t="s">
        <v>954</v>
      </c>
      <c r="E71" s="1" t="str">
        <f>VLOOKUP(Table1[[#This Row],[Navn DK]],product_nodes_new_id!A:C,3,FALSE)</f>
        <v>35da1476-0ece-4949-94a8-c5f260853b38</v>
      </c>
      <c r="F71" s="1">
        <v>7.4636449639169902</v>
      </c>
      <c r="G71" s="1">
        <v>7.05129294606835</v>
      </c>
      <c r="H71" s="1">
        <v>0</v>
      </c>
      <c r="I71" s="1">
        <v>-2.06065821617914</v>
      </c>
      <c r="J71" s="1">
        <v>1</v>
      </c>
      <c r="K71" s="1" t="s">
        <v>24</v>
      </c>
      <c r="L71" s="1">
        <v>2.3199999999999998</v>
      </c>
      <c r="M71" s="1" t="s">
        <v>25</v>
      </c>
      <c r="N71" s="3" t="s">
        <v>1643</v>
      </c>
      <c r="O71" s="1"/>
    </row>
    <row r="72" spans="1:15" x14ac:dyDescent="0.25">
      <c r="A72" s="2" t="s">
        <v>593</v>
      </c>
      <c r="B72" s="1" t="s">
        <v>394</v>
      </c>
      <c r="C72" s="1" t="s">
        <v>594</v>
      </c>
      <c r="D72" s="1" t="s">
        <v>595</v>
      </c>
      <c r="E72" s="1" t="str">
        <f>VLOOKUP(Table1[[#This Row],[Navn DK]],product_nodes_new_id!A:C,3,FALSE)</f>
        <v>7a24d199-e5d6-4a30-8e38-ecb59573ab24</v>
      </c>
      <c r="F72" s="1">
        <v>0.65990251810054801</v>
      </c>
      <c r="G72" s="1">
        <v>0</v>
      </c>
      <c r="H72" s="1">
        <v>0</v>
      </c>
      <c r="I72" s="1">
        <v>0</v>
      </c>
      <c r="J72" s="1">
        <v>1</v>
      </c>
      <c r="K72" s="1" t="s">
        <v>17</v>
      </c>
      <c r="L72" s="1">
        <v>1</v>
      </c>
      <c r="M72" s="1" t="s">
        <v>18</v>
      </c>
      <c r="N72" s="3" t="s">
        <v>596</v>
      </c>
      <c r="O72" s="1"/>
    </row>
    <row r="73" spans="1:15" x14ac:dyDescent="0.25">
      <c r="A73" s="2" t="s">
        <v>459</v>
      </c>
      <c r="B73" s="1" t="s">
        <v>394</v>
      </c>
      <c r="C73" s="1" t="s">
        <v>460</v>
      </c>
      <c r="D73" s="1" t="s">
        <v>461</v>
      </c>
      <c r="E73" s="1" t="str">
        <f>VLOOKUP(Table1[[#This Row],[Navn DK]],product_nodes_new_id!A:C,3,FALSE)</f>
        <v>a53a6043-5618-468f-83f4-7e2cf31b4163</v>
      </c>
      <c r="F73" s="1">
        <v>0.367582697481523</v>
      </c>
      <c r="G73" s="1">
        <v>0</v>
      </c>
      <c r="H73" s="1">
        <v>0</v>
      </c>
      <c r="I73" s="1">
        <v>0</v>
      </c>
      <c r="J73" s="1">
        <v>1</v>
      </c>
      <c r="K73" s="1" t="s">
        <v>17</v>
      </c>
      <c r="L73" s="1">
        <v>600</v>
      </c>
      <c r="M73" s="1" t="s">
        <v>69</v>
      </c>
      <c r="N73" s="3" t="s">
        <v>462</v>
      </c>
      <c r="O73" s="1"/>
    </row>
    <row r="74" spans="1:15" x14ac:dyDescent="0.25">
      <c r="A74" s="2" t="s">
        <v>373</v>
      </c>
      <c r="B74" s="1" t="s">
        <v>130</v>
      </c>
      <c r="C74" s="1" t="s">
        <v>22</v>
      </c>
      <c r="D74" s="1" t="s">
        <v>374</v>
      </c>
      <c r="E74" s="1" t="str">
        <f>VLOOKUP(Table1[[#This Row],[Navn DK]],product_nodes_new_id!A:C,3,FALSE)</f>
        <v>726abebd-6a63-47f9-a8f2-fa64e6468386</v>
      </c>
      <c r="F74" s="1">
        <v>433.40000000000003</v>
      </c>
      <c r="G74" s="1">
        <v>0.99990000000000012</v>
      </c>
      <c r="H74" s="1">
        <v>0.90420000000000011</v>
      </c>
      <c r="I74" s="1">
        <v>-1.8450000000000002</v>
      </c>
      <c r="J74" s="1">
        <v>1</v>
      </c>
      <c r="K74" s="1" t="s">
        <v>339</v>
      </c>
      <c r="L74" s="1">
        <v>2150</v>
      </c>
      <c r="M74" s="1" t="s">
        <v>69</v>
      </c>
      <c r="N74" s="3" t="s">
        <v>133</v>
      </c>
      <c r="O74" s="1"/>
    </row>
    <row r="75" spans="1:15" x14ac:dyDescent="0.25">
      <c r="A75" s="2" t="s">
        <v>1296</v>
      </c>
      <c r="B75" s="1" t="s">
        <v>394</v>
      </c>
      <c r="C75" s="1" t="s">
        <v>1297</v>
      </c>
      <c r="D75" s="1" t="s">
        <v>1298</v>
      </c>
      <c r="E75" s="1" t="str">
        <f>VLOOKUP(Table1[[#This Row],[Navn DK]],product_nodes_new_id!A:C,3,FALSE)</f>
        <v>3e9b36c3-6ec0-4f0b-97f6-e24642530404</v>
      </c>
      <c r="F75" s="1">
        <v>5073.7353712319</v>
      </c>
      <c r="G75" s="1">
        <v>24.2059532735116</v>
      </c>
      <c r="H75" s="1">
        <v>11.1785370963966</v>
      </c>
      <c r="I75" s="1">
        <v>-1236.82678615859</v>
      </c>
      <c r="J75" s="1">
        <v>1</v>
      </c>
      <c r="K75" s="1" t="s">
        <v>123</v>
      </c>
      <c r="L75" s="1">
        <v>1603</v>
      </c>
      <c r="M75" s="1" t="s">
        <v>124</v>
      </c>
      <c r="N75" s="3" t="s">
        <v>1299</v>
      </c>
      <c r="O75" s="1"/>
    </row>
    <row r="76" spans="1:15" x14ac:dyDescent="0.25">
      <c r="A76" s="2" t="s">
        <v>1366</v>
      </c>
      <c r="B76" s="1" t="s">
        <v>394</v>
      </c>
      <c r="C76" s="1" t="s">
        <v>1367</v>
      </c>
      <c r="D76" s="1" t="s">
        <v>1368</v>
      </c>
      <c r="E76" s="1" t="str">
        <f>VLOOKUP(Table1[[#This Row],[Navn DK]],product_nodes_new_id!A:C,3,FALSE)</f>
        <v>87b82b3c-a6db-43d8-b179-c9d148287fa1</v>
      </c>
      <c r="F76" s="1">
        <v>988.76092829453</v>
      </c>
      <c r="G76" s="1">
        <v>0</v>
      </c>
      <c r="H76" s="1">
        <v>0.31807494723385898</v>
      </c>
      <c r="I76" s="1">
        <v>-379.037807307474</v>
      </c>
      <c r="J76" s="1">
        <v>1</v>
      </c>
      <c r="K76" s="1" t="s">
        <v>123</v>
      </c>
      <c r="L76" s="1">
        <v>333</v>
      </c>
      <c r="M76" s="1" t="s">
        <v>124</v>
      </c>
      <c r="N76" s="3" t="s">
        <v>1369</v>
      </c>
      <c r="O76" s="1"/>
    </row>
    <row r="77" spans="1:15" x14ac:dyDescent="0.25">
      <c r="A77" s="2" t="s">
        <v>1276</v>
      </c>
      <c r="B77" s="1" t="s">
        <v>394</v>
      </c>
      <c r="C77" s="1" t="s">
        <v>1277</v>
      </c>
      <c r="D77" s="1" t="s">
        <v>1278</v>
      </c>
      <c r="E77" s="1" t="str">
        <f>VLOOKUP(Table1[[#This Row],[Navn DK]],product_nodes_new_id!A:C,3,FALSE)</f>
        <v>55e6dd93-ff50-4fbc-8360-ff29fb14fb5a</v>
      </c>
      <c r="F77" s="1">
        <v>336.73146416672398</v>
      </c>
      <c r="G77" s="1">
        <v>4.2819300051919802</v>
      </c>
      <c r="H77" s="1">
        <v>0.11905403775171</v>
      </c>
      <c r="I77" s="1">
        <v>-128.27195095403701</v>
      </c>
      <c r="J77" s="1">
        <v>1</v>
      </c>
      <c r="K77" s="1" t="s">
        <v>123</v>
      </c>
      <c r="L77" s="1">
        <v>139</v>
      </c>
      <c r="M77" s="1" t="s">
        <v>124</v>
      </c>
      <c r="N77" s="3" t="s">
        <v>1279</v>
      </c>
      <c r="O77" s="1"/>
    </row>
    <row r="78" spans="1:15" x14ac:dyDescent="0.25">
      <c r="A78" s="2" t="s">
        <v>1288</v>
      </c>
      <c r="B78" s="1" t="s">
        <v>394</v>
      </c>
      <c r="C78" s="1" t="s">
        <v>1289</v>
      </c>
      <c r="D78" s="1" t="s">
        <v>1290</v>
      </c>
      <c r="E78" s="1" t="str">
        <f>VLOOKUP(Table1[[#This Row],[Navn DK]],product_nodes_new_id!A:C,3,FALSE)</f>
        <v>c313a56c-9082-4b74-88e4-d60754d5dfce</v>
      </c>
      <c r="F78" s="1">
        <v>1942.5484888021499</v>
      </c>
      <c r="G78" s="1">
        <v>4.2819300051919802</v>
      </c>
      <c r="H78" s="1">
        <v>0.11906195821759399</v>
      </c>
      <c r="I78" s="1">
        <v>-128.28384258649001</v>
      </c>
      <c r="J78" s="1">
        <v>1</v>
      </c>
      <c r="K78" s="1" t="s">
        <v>123</v>
      </c>
      <c r="L78" s="1">
        <v>1498</v>
      </c>
      <c r="M78" s="1" t="s">
        <v>124</v>
      </c>
      <c r="N78" s="3" t="s">
        <v>1291</v>
      </c>
      <c r="O78" s="1"/>
    </row>
    <row r="79" spans="1:15" x14ac:dyDescent="0.25">
      <c r="A79" s="2" t="s">
        <v>1511</v>
      </c>
      <c r="B79" s="1" t="s">
        <v>1512</v>
      </c>
      <c r="C79" s="1" t="s">
        <v>22</v>
      </c>
      <c r="D79" s="1" t="s">
        <v>1513</v>
      </c>
      <c r="E79" s="1" t="e">
        <f>VLOOKUP(Table1[[#This Row],[Navn DK]],product_nodes_new_id!A:C,3,FALSE)</f>
        <v>#N/A</v>
      </c>
      <c r="F79" s="1">
        <v>8.0000000000000002E-3</v>
      </c>
      <c r="G79" s="1">
        <v>1.2E-2</v>
      </c>
      <c r="H79" s="1">
        <v>0</v>
      </c>
      <c r="I79" s="1">
        <v>-0.01</v>
      </c>
      <c r="J79" s="1"/>
      <c r="K79" s="1"/>
      <c r="L79" s="16">
        <v>3.1356308139938963E-2</v>
      </c>
      <c r="M79" s="1" t="s">
        <v>25</v>
      </c>
      <c r="N79" s="15" t="s">
        <v>1514</v>
      </c>
      <c r="O79" s="1"/>
    </row>
    <row r="80" spans="1:15" x14ac:dyDescent="0.25">
      <c r="A80" s="2" t="s">
        <v>1515</v>
      </c>
      <c r="B80" s="1" t="s">
        <v>1512</v>
      </c>
      <c r="C80" s="1" t="s">
        <v>22</v>
      </c>
      <c r="D80" s="1" t="s">
        <v>1516</v>
      </c>
      <c r="E80" s="1" t="e">
        <f>VLOOKUP(Table1[[#This Row],[Navn DK]],product_nodes_new_id!A:C,3,FALSE)</f>
        <v>#N/A</v>
      </c>
      <c r="F80" s="1">
        <v>4.8000000000000001E-2</v>
      </c>
      <c r="G80" s="1">
        <v>1.2E-2</v>
      </c>
      <c r="H80" s="1">
        <v>0</v>
      </c>
      <c r="I80" s="1">
        <v>-2.5000000000000001E-2</v>
      </c>
      <c r="J80" s="1"/>
      <c r="K80" s="1"/>
      <c r="L80" s="16">
        <v>0.2905717749618934</v>
      </c>
      <c r="M80" s="1" t="s">
        <v>25</v>
      </c>
      <c r="N80" s="3" t="s">
        <v>1514</v>
      </c>
      <c r="O80" s="1"/>
    </row>
    <row r="81" spans="1:15" x14ac:dyDescent="0.25">
      <c r="A81" s="2" t="s">
        <v>1517</v>
      </c>
      <c r="B81" s="1" t="s">
        <v>1512</v>
      </c>
      <c r="C81" s="1" t="s">
        <v>22</v>
      </c>
      <c r="D81" s="1" t="s">
        <v>1518</v>
      </c>
      <c r="E81" s="1" t="e">
        <f>VLOOKUP(Table1[[#This Row],[Navn DK]],product_nodes_new_id!A:C,3,FALSE)</f>
        <v>#N/A</v>
      </c>
      <c r="F81" s="1">
        <v>0.47499999999999998</v>
      </c>
      <c r="G81" s="1">
        <v>0.105</v>
      </c>
      <c r="H81" s="1">
        <v>0</v>
      </c>
      <c r="I81" s="1">
        <v>-0.27400000000000002</v>
      </c>
      <c r="J81" s="1"/>
      <c r="K81" s="1"/>
      <c r="L81" s="16">
        <v>3.3126423511843859</v>
      </c>
      <c r="M81" s="1" t="s">
        <v>25</v>
      </c>
      <c r="N81" s="3" t="s">
        <v>1514</v>
      </c>
      <c r="O81" s="1"/>
    </row>
    <row r="82" spans="1:15" x14ac:dyDescent="0.25">
      <c r="A82" s="2" t="s">
        <v>1152</v>
      </c>
      <c r="B82" s="1" t="s">
        <v>394</v>
      </c>
      <c r="C82" s="1" t="s">
        <v>1153</v>
      </c>
      <c r="D82" s="1" t="s">
        <v>1154</v>
      </c>
      <c r="E82" s="1" t="str">
        <f>VLOOKUP(Table1[[#This Row],[Navn DK]],product_nodes_new_id!A:C,3,FALSE)</f>
        <v>1d3af4fa-1a6c-4d82-a67d-5508da3ed13e</v>
      </c>
      <c r="F82" s="1">
        <v>231.751456510938</v>
      </c>
      <c r="G82" s="1">
        <v>137.84678371349301</v>
      </c>
      <c r="H82" s="1">
        <v>8.8510023900073606E-2</v>
      </c>
      <c r="I82" s="1">
        <v>-47.8066944877922</v>
      </c>
      <c r="J82" s="1">
        <v>1</v>
      </c>
      <c r="K82" s="1" t="s">
        <v>68</v>
      </c>
      <c r="L82" s="1">
        <v>55</v>
      </c>
      <c r="M82" s="1" t="s">
        <v>69</v>
      </c>
      <c r="N82" s="3" t="s">
        <v>1670</v>
      </c>
      <c r="O82" s="1"/>
    </row>
    <row r="83" spans="1:15" x14ac:dyDescent="0.25">
      <c r="A83" s="2" t="s">
        <v>746</v>
      </c>
      <c r="B83" s="1" t="s">
        <v>394</v>
      </c>
      <c r="C83" s="1" t="s">
        <v>747</v>
      </c>
      <c r="D83" s="1" t="s">
        <v>748</v>
      </c>
      <c r="E83" s="1" t="str">
        <f>VLOOKUP(Table1[[#This Row],[Navn DK]],product_nodes_new_id!A:C,3,FALSE)</f>
        <v>230fd192-0c04-4417-820b-47333b1cd7ff</v>
      </c>
      <c r="F83" s="1">
        <v>0.55722887127203802</v>
      </c>
      <c r="G83" s="1">
        <v>0.56459889255908702</v>
      </c>
      <c r="H83" s="1">
        <v>0.56434064231001702</v>
      </c>
      <c r="I83" s="1">
        <v>-0.46772944810348999</v>
      </c>
      <c r="J83" s="1">
        <v>1</v>
      </c>
      <c r="K83" s="1" t="s">
        <v>159</v>
      </c>
      <c r="L83" s="1">
        <v>0.18</v>
      </c>
      <c r="M83" s="1" t="s">
        <v>160</v>
      </c>
      <c r="N83" s="3" t="s">
        <v>749</v>
      </c>
      <c r="O83" s="1"/>
    </row>
    <row r="84" spans="1:15" x14ac:dyDescent="0.25">
      <c r="A84" s="2" t="s">
        <v>753</v>
      </c>
      <c r="B84" s="1" t="s">
        <v>394</v>
      </c>
      <c r="C84" s="1" t="s">
        <v>754</v>
      </c>
      <c r="D84" s="1" t="s">
        <v>755</v>
      </c>
      <c r="E84" s="1" t="str">
        <f>VLOOKUP(Table1[[#This Row],[Navn DK]],product_nodes_new_id!A:C,3,FALSE)</f>
        <v>7f957323-e2de-4f9c-b8d3-e0635cbc9e17</v>
      </c>
      <c r="F84" s="1">
        <v>1.3311578591498701</v>
      </c>
      <c r="G84" s="1">
        <v>1.34876402111338</v>
      </c>
      <c r="H84" s="1">
        <v>1.3481470899628201</v>
      </c>
      <c r="I84" s="1">
        <v>-1.11735368158056</v>
      </c>
      <c r="J84" s="1">
        <v>1</v>
      </c>
      <c r="K84" s="1" t="s">
        <v>159</v>
      </c>
      <c r="L84" s="1">
        <v>0.43</v>
      </c>
      <c r="M84" s="1" t="s">
        <v>160</v>
      </c>
      <c r="N84" s="3" t="s">
        <v>1621</v>
      </c>
      <c r="O84" s="1"/>
    </row>
    <row r="85" spans="1:15" x14ac:dyDescent="0.25">
      <c r="A85" s="2" t="s">
        <v>142</v>
      </c>
      <c r="B85" s="1" t="s">
        <v>130</v>
      </c>
      <c r="C85" s="1" t="s">
        <v>22</v>
      </c>
      <c r="D85" s="1" t="s">
        <v>143</v>
      </c>
      <c r="E85" s="1" t="str">
        <f>VLOOKUP(Table1[[#This Row],[Navn DK]],product_nodes_new_id!A:C,3,FALSE)</f>
        <v>17aac44d-082d-49d7-8bd1-4d00422e1b82</v>
      </c>
      <c r="F85" s="1">
        <v>6.391</v>
      </c>
      <c r="G85" s="1">
        <v>0.59070000000000011</v>
      </c>
      <c r="H85" s="1">
        <v>0</v>
      </c>
      <c r="I85" s="1">
        <v>-0.13500000000000001</v>
      </c>
      <c r="J85" s="1">
        <v>1</v>
      </c>
      <c r="K85" s="1" t="s">
        <v>17</v>
      </c>
      <c r="L85" s="1">
        <v>2.25</v>
      </c>
      <c r="M85" s="1" t="s">
        <v>144</v>
      </c>
      <c r="N85" s="3" t="s">
        <v>133</v>
      </c>
      <c r="O85" s="1"/>
    </row>
    <row r="86" spans="1:15" x14ac:dyDescent="0.25">
      <c r="A86" s="2" t="s">
        <v>247</v>
      </c>
      <c r="B86" s="1" t="s">
        <v>130</v>
      </c>
      <c r="C86" s="1" t="s">
        <v>22</v>
      </c>
      <c r="D86" s="1" t="s">
        <v>1701</v>
      </c>
      <c r="E86" s="1" t="str">
        <f>VLOOKUP(Table1[[#This Row],[Navn DK]],product_nodes_new_id!A:C,3,FALSE)</f>
        <v>3a0c6c3a-45bb-44d7-bdd2-e84afed836ab</v>
      </c>
      <c r="F86" s="1">
        <v>0.86240000000000006</v>
      </c>
      <c r="G86" s="1">
        <v>1.3084</v>
      </c>
      <c r="H86" s="1">
        <v>2.3532000000000001E-5</v>
      </c>
      <c r="I86" s="1">
        <v>-0.35027999999999998</v>
      </c>
      <c r="J86" s="1">
        <v>1</v>
      </c>
      <c r="K86" s="1" t="s">
        <v>248</v>
      </c>
      <c r="L86" s="1">
        <v>11.2</v>
      </c>
      <c r="M86" s="1" t="s">
        <v>69</v>
      </c>
      <c r="N86" s="3" t="s">
        <v>133</v>
      </c>
      <c r="O86" s="1"/>
    </row>
    <row r="87" spans="1:15" x14ac:dyDescent="0.25">
      <c r="A87" s="2" t="s">
        <v>249</v>
      </c>
      <c r="B87" s="1" t="s">
        <v>130</v>
      </c>
      <c r="C87" s="1" t="s">
        <v>22</v>
      </c>
      <c r="D87" s="1" t="s">
        <v>1702</v>
      </c>
      <c r="E87" s="1" t="str">
        <f>VLOOKUP(Table1[[#This Row],[Navn DK]],product_nodes_new_id!A:C,3,FALSE)</f>
        <v>8e9a9593-1278-4a0b-9c04-47f2505f2961</v>
      </c>
      <c r="F87" s="1">
        <v>1.518</v>
      </c>
      <c r="G87" s="1">
        <v>1.5070000000000003</v>
      </c>
      <c r="H87" s="1">
        <v>2.7104000000000007E-5</v>
      </c>
      <c r="I87" s="1">
        <v>-4.1579999999999999E-2</v>
      </c>
      <c r="J87" s="1">
        <v>1</v>
      </c>
      <c r="K87" s="1" t="s">
        <v>248</v>
      </c>
      <c r="L87" s="1">
        <v>12.9</v>
      </c>
      <c r="M87" s="1" t="s">
        <v>69</v>
      </c>
      <c r="N87" s="3" t="s">
        <v>133</v>
      </c>
      <c r="O87" s="1"/>
    </row>
    <row r="88" spans="1:15" x14ac:dyDescent="0.25">
      <c r="A88" s="2" t="s">
        <v>252</v>
      </c>
      <c r="B88" s="1" t="s">
        <v>130</v>
      </c>
      <c r="C88" s="1" t="s">
        <v>22</v>
      </c>
      <c r="D88" s="1" t="s">
        <v>1703</v>
      </c>
      <c r="E88" s="1" t="str">
        <f>VLOOKUP(Table1[[#This Row],[Navn DK]],product_nodes_new_id!A:C,3,FALSE)</f>
        <v>19aa760f-403b-4ee0-89af-beb668edd6ff</v>
      </c>
      <c r="F88" s="1">
        <v>2.4213200000000001</v>
      </c>
      <c r="G88" s="1">
        <v>1.7380000000000002</v>
      </c>
      <c r="H88" s="1">
        <v>8.481000000000001E-5</v>
      </c>
      <c r="I88" s="1">
        <v>-4.5990000000000003E-2</v>
      </c>
      <c r="J88" s="1">
        <v>1</v>
      </c>
      <c r="K88" s="1" t="s">
        <v>248</v>
      </c>
      <c r="L88" s="1">
        <v>16</v>
      </c>
      <c r="M88" s="1" t="s">
        <v>69</v>
      </c>
      <c r="N88" s="3" t="s">
        <v>133</v>
      </c>
      <c r="O88" s="1"/>
    </row>
    <row r="89" spans="1:15" x14ac:dyDescent="0.25">
      <c r="A89" s="2" t="s">
        <v>250</v>
      </c>
      <c r="B89" s="1" t="s">
        <v>130</v>
      </c>
      <c r="C89" s="1" t="s">
        <v>22</v>
      </c>
      <c r="D89" s="1" t="s">
        <v>1698</v>
      </c>
      <c r="E89" s="1" t="str">
        <f>VLOOKUP(Table1[[#This Row],[Navn DK]],product_nodes_new_id!A:C,3,FALSE)</f>
        <v>9428374e-1fe4-4554-b688-e8745feb63e4</v>
      </c>
      <c r="F89" s="1">
        <v>2.5095399999999999</v>
      </c>
      <c r="G89" s="1">
        <v>1.87</v>
      </c>
      <c r="H89" s="1">
        <v>9.1080000000000002E-5</v>
      </c>
      <c r="I89" s="1">
        <v>-8.7120000000000003E-2</v>
      </c>
      <c r="J89" s="1">
        <v>1</v>
      </c>
      <c r="K89" s="1" t="s">
        <v>248</v>
      </c>
      <c r="L89" s="1">
        <v>13.25</v>
      </c>
      <c r="M89" s="1" t="s">
        <v>69</v>
      </c>
      <c r="N89" s="3" t="s">
        <v>133</v>
      </c>
      <c r="O89" s="1"/>
    </row>
    <row r="90" spans="1:15" x14ac:dyDescent="0.25">
      <c r="A90" s="2" t="s">
        <v>251</v>
      </c>
      <c r="B90" s="1" t="s">
        <v>130</v>
      </c>
      <c r="C90" s="1" t="s">
        <v>22</v>
      </c>
      <c r="D90" s="1" t="s">
        <v>1699</v>
      </c>
      <c r="E90" s="1" t="str">
        <f>VLOOKUP(Table1[[#This Row],[Navn DK]],product_nodes_new_id!A:C,3,FALSE)</f>
        <v>96f0943e-8964-4bfa-b019-63a815402d76</v>
      </c>
      <c r="F90" s="1">
        <v>2.68235</v>
      </c>
      <c r="G90" s="1">
        <v>2.0240000000000005</v>
      </c>
      <c r="H90" s="1">
        <v>9.8780000000000013E-5</v>
      </c>
      <c r="I90" s="1">
        <v>-9.4500000000000001E-2</v>
      </c>
      <c r="J90" s="1">
        <v>1</v>
      </c>
      <c r="K90" s="1" t="s">
        <v>248</v>
      </c>
      <c r="L90" s="1">
        <v>15</v>
      </c>
      <c r="M90" s="1" t="s">
        <v>69</v>
      </c>
      <c r="N90" s="3" t="s">
        <v>133</v>
      </c>
      <c r="O90" s="1"/>
    </row>
    <row r="91" spans="1:15" x14ac:dyDescent="0.25">
      <c r="A91" s="2" t="s">
        <v>282</v>
      </c>
      <c r="B91" s="1" t="s">
        <v>130</v>
      </c>
      <c r="C91" s="1" t="s">
        <v>22</v>
      </c>
      <c r="D91" s="1" t="s">
        <v>1700</v>
      </c>
      <c r="E91" s="1" t="str">
        <f>VLOOKUP(Table1[[#This Row],[Navn DK]],product_nodes_new_id!A:C,3,FALSE)</f>
        <v>2d704b40-77ee-4051-9f91-aa602955e797</v>
      </c>
      <c r="F91" s="1">
        <v>4.5609850000000005</v>
      </c>
      <c r="G91" s="1">
        <v>6.6946000000000012</v>
      </c>
      <c r="H91" s="1">
        <v>2.2990000000000003E-4</v>
      </c>
      <c r="I91" s="1">
        <v>-0.1062</v>
      </c>
      <c r="J91" s="1">
        <v>1</v>
      </c>
      <c r="K91" s="1" t="s">
        <v>248</v>
      </c>
      <c r="L91" s="1">
        <v>37</v>
      </c>
      <c r="M91" s="1" t="s">
        <v>69</v>
      </c>
      <c r="N91" s="3" t="s">
        <v>133</v>
      </c>
      <c r="O91" s="1"/>
    </row>
    <row r="92" spans="1:15" x14ac:dyDescent="0.25">
      <c r="A92" s="2" t="s">
        <v>1525</v>
      </c>
      <c r="B92" s="1" t="s">
        <v>1512</v>
      </c>
      <c r="C92" s="1" t="s">
        <v>22</v>
      </c>
      <c r="D92" s="1" t="s">
        <v>1526</v>
      </c>
      <c r="E92" s="1" t="e">
        <f>VLOOKUP(Table1[[#This Row],[Navn DK]],product_nodes_new_id!A:C,3,FALSE)</f>
        <v>#N/A</v>
      </c>
      <c r="F92" s="1">
        <v>5.6000000000000001E-2</v>
      </c>
      <c r="G92" s="1">
        <v>6.4000000000000001E-2</v>
      </c>
      <c r="H92" s="1">
        <v>0</v>
      </c>
      <c r="I92" s="1">
        <v>-4.8000000000000001E-2</v>
      </c>
      <c r="J92" s="1"/>
      <c r="K92" s="1"/>
      <c r="L92" s="1">
        <v>0.46</v>
      </c>
      <c r="M92" s="1" t="s">
        <v>25</v>
      </c>
      <c r="N92" s="3" t="s">
        <v>1514</v>
      </c>
      <c r="O92" s="1"/>
    </row>
    <row r="93" spans="1:15" x14ac:dyDescent="0.25">
      <c r="A93" s="2" t="s">
        <v>1527</v>
      </c>
      <c r="B93" s="1" t="s">
        <v>1512</v>
      </c>
      <c r="C93" s="1" t="s">
        <v>22</v>
      </c>
      <c r="D93" s="1" t="s">
        <v>1528</v>
      </c>
      <c r="E93" s="1" t="e">
        <f>VLOOKUP(Table1[[#This Row],[Navn DK]],product_nodes_new_id!A:C,3,FALSE)</f>
        <v>#N/A</v>
      </c>
      <c r="F93" s="1">
        <v>0.05</v>
      </c>
      <c r="G93" s="1">
        <v>0.01</v>
      </c>
      <c r="H93" s="1">
        <v>0</v>
      </c>
      <c r="I93" s="1">
        <v>-0.02</v>
      </c>
      <c r="J93" s="1"/>
      <c r="K93" s="1"/>
      <c r="L93" s="1">
        <v>0.52</v>
      </c>
      <c r="M93" s="1" t="s">
        <v>25</v>
      </c>
      <c r="N93" s="3" t="s">
        <v>1514</v>
      </c>
      <c r="O93" s="1"/>
    </row>
    <row r="94" spans="1:15" x14ac:dyDescent="0.25">
      <c r="A94" s="2" t="s">
        <v>1529</v>
      </c>
      <c r="B94" s="1" t="s">
        <v>1512</v>
      </c>
      <c r="C94" s="1" t="s">
        <v>22</v>
      </c>
      <c r="D94" s="1" t="s">
        <v>1530</v>
      </c>
      <c r="E94" s="1" t="e">
        <f>VLOOKUP(Table1[[#This Row],[Navn DK]],product_nodes_new_id!A:C,3,FALSE)</f>
        <v>#N/A</v>
      </c>
      <c r="F94" s="1">
        <v>0.39400000000000002</v>
      </c>
      <c r="G94" s="1">
        <v>8.1000000000000003E-2</v>
      </c>
      <c r="H94" s="1">
        <v>0</v>
      </c>
      <c r="I94" s="1">
        <v>-0.222</v>
      </c>
      <c r="J94" s="1"/>
      <c r="K94" s="1"/>
      <c r="L94" s="1">
        <v>3.59</v>
      </c>
      <c r="M94" s="1" t="s">
        <v>25</v>
      </c>
      <c r="N94" s="3" t="s">
        <v>1514</v>
      </c>
      <c r="O94" s="1"/>
    </row>
    <row r="95" spans="1:15" x14ac:dyDescent="0.25">
      <c r="A95" s="2" t="s">
        <v>919</v>
      </c>
      <c r="B95" s="1" t="s">
        <v>394</v>
      </c>
      <c r="C95" s="1" t="s">
        <v>920</v>
      </c>
      <c r="D95" s="1" t="s">
        <v>921</v>
      </c>
      <c r="E95" s="1" t="str">
        <f>VLOOKUP(Table1[[#This Row],[Navn DK]],product_nodes_new_id!A:C,3,FALSE)</f>
        <v>9e9e75f5-ad1e-4b5c-8e8b-5e1daae6c2e6</v>
      </c>
      <c r="F95" s="1">
        <v>4.8491399790851002</v>
      </c>
      <c r="G95" s="1">
        <v>0.13200000000000001</v>
      </c>
      <c r="H95" s="1">
        <v>0.18056044875614999</v>
      </c>
      <c r="I95" s="1">
        <v>0</v>
      </c>
      <c r="J95" s="1">
        <v>1</v>
      </c>
      <c r="K95" s="1" t="s">
        <v>24</v>
      </c>
      <c r="L95" s="1">
        <v>11.4</v>
      </c>
      <c r="M95" s="1" t="s">
        <v>25</v>
      </c>
      <c r="N95" s="3" t="s">
        <v>1636</v>
      </c>
      <c r="O95" s="1"/>
    </row>
    <row r="96" spans="1:15" x14ac:dyDescent="0.25">
      <c r="A96" s="2" t="s">
        <v>939</v>
      </c>
      <c r="B96" s="1" t="s">
        <v>394</v>
      </c>
      <c r="C96" s="1" t="s">
        <v>940</v>
      </c>
      <c r="D96" s="1" t="s">
        <v>941</v>
      </c>
      <c r="E96" s="1" t="str">
        <f>VLOOKUP(Table1[[#This Row],[Navn DK]],product_nodes_new_id!A:C,3,FALSE)</f>
        <v>48a4d96e-3d96-40d4-97f5-28032673d766</v>
      </c>
      <c r="F96" s="1">
        <v>7.5849222319760097</v>
      </c>
      <c r="G96" s="1">
        <v>0.184</v>
      </c>
      <c r="H96" s="1">
        <v>0.27711683846532098</v>
      </c>
      <c r="I96" s="1">
        <v>0</v>
      </c>
      <c r="J96" s="1">
        <v>1</v>
      </c>
      <c r="K96" s="1" t="s">
        <v>24</v>
      </c>
      <c r="L96" s="1">
        <v>17.399999999999999</v>
      </c>
      <c r="M96" s="1" t="s">
        <v>25</v>
      </c>
      <c r="N96" s="3" t="s">
        <v>1640</v>
      </c>
      <c r="O96" s="1"/>
    </row>
    <row r="97" spans="1:15" x14ac:dyDescent="0.25">
      <c r="A97" s="2" t="s">
        <v>1000</v>
      </c>
      <c r="B97" s="1" t="s">
        <v>394</v>
      </c>
      <c r="C97" s="1" t="s">
        <v>1001</v>
      </c>
      <c r="D97" s="1" t="s">
        <v>1002</v>
      </c>
      <c r="E97" s="1" t="str">
        <f>VLOOKUP(Table1[[#This Row],[Navn DK]],product_nodes_new_id!A:C,3,FALSE)</f>
        <v>e3310871-06f0-460e-a397-3d29184ea863</v>
      </c>
      <c r="F97" s="1">
        <v>10.1084884616685</v>
      </c>
      <c r="G97" s="1">
        <v>0.38500000000000001</v>
      </c>
      <c r="H97" s="1">
        <v>0.56607792740163398</v>
      </c>
      <c r="I97" s="1">
        <v>0</v>
      </c>
      <c r="J97" s="1">
        <v>1</v>
      </c>
      <c r="K97" s="1" t="s">
        <v>24</v>
      </c>
      <c r="L97" s="1">
        <v>35.18</v>
      </c>
      <c r="M97" s="1" t="s">
        <v>25</v>
      </c>
      <c r="N97" s="3" t="s">
        <v>1647</v>
      </c>
      <c r="O97" s="1"/>
    </row>
    <row r="98" spans="1:15" x14ac:dyDescent="0.25">
      <c r="A98" s="2" t="s">
        <v>922</v>
      </c>
      <c r="B98" s="1" t="s">
        <v>394</v>
      </c>
      <c r="C98" s="1" t="s">
        <v>923</v>
      </c>
      <c r="D98" s="1" t="s">
        <v>924</v>
      </c>
      <c r="E98" s="1" t="str">
        <f>VLOOKUP(Table1[[#This Row],[Navn DK]],product_nodes_new_id!A:C,3,FALSE)</f>
        <v>aaa2f3dd-e84d-47ac-9b33-fccdc2e59c02</v>
      </c>
      <c r="F98" s="1">
        <v>5.5528861354002199</v>
      </c>
      <c r="G98" s="1">
        <v>0</v>
      </c>
      <c r="H98" s="1">
        <v>0.200772919668603</v>
      </c>
      <c r="I98" s="1">
        <v>0</v>
      </c>
      <c r="J98" s="1">
        <v>1</v>
      </c>
      <c r="K98" s="1" t="s">
        <v>24</v>
      </c>
      <c r="L98" s="1">
        <v>12.3</v>
      </c>
      <c r="M98" s="1" t="s">
        <v>25</v>
      </c>
      <c r="N98" s="3" t="s">
        <v>1637</v>
      </c>
      <c r="O98" s="1"/>
    </row>
    <row r="99" spans="1:15" x14ac:dyDescent="0.25">
      <c r="A99" s="2" t="s">
        <v>925</v>
      </c>
      <c r="B99" s="1" t="s">
        <v>394</v>
      </c>
      <c r="C99" s="1" t="s">
        <v>926</v>
      </c>
      <c r="D99" s="1" t="s">
        <v>927</v>
      </c>
      <c r="E99" s="1" t="str">
        <f>VLOOKUP(Table1[[#This Row],[Navn DK]],product_nodes_new_id!A:C,3,FALSE)</f>
        <v>1f996148-b368-49af-8ccd-5b3d58ffae39</v>
      </c>
      <c r="F99" s="1">
        <v>5.5528861354002199</v>
      </c>
      <c r="G99" s="1">
        <v>0</v>
      </c>
      <c r="H99" s="1">
        <v>0.200772919668603</v>
      </c>
      <c r="I99" s="1">
        <v>0</v>
      </c>
      <c r="J99" s="1">
        <v>1</v>
      </c>
      <c r="K99" s="1" t="s">
        <v>24</v>
      </c>
      <c r="L99" s="1">
        <v>12.48</v>
      </c>
      <c r="M99" s="1" t="s">
        <v>25</v>
      </c>
      <c r="N99" s="3" t="s">
        <v>1638</v>
      </c>
      <c r="O99" s="1"/>
    </row>
    <row r="100" spans="1:15" x14ac:dyDescent="0.25">
      <c r="A100" s="2" t="s">
        <v>928</v>
      </c>
      <c r="B100" s="1" t="s">
        <v>394</v>
      </c>
      <c r="C100" s="1" t="s">
        <v>929</v>
      </c>
      <c r="D100" s="1" t="s">
        <v>930</v>
      </c>
      <c r="E100" s="1" t="str">
        <f>VLOOKUP(Table1[[#This Row],[Navn DK]],product_nodes_new_id!A:C,3,FALSE)</f>
        <v>b39cc74b-0baa-4aab-85cf-141ba14b6b33</v>
      </c>
      <c r="F100" s="1">
        <v>6.5406459849468899</v>
      </c>
      <c r="G100" s="1">
        <v>0</v>
      </c>
      <c r="H100" s="1">
        <v>0.200772919668603</v>
      </c>
      <c r="I100" s="1">
        <v>0</v>
      </c>
      <c r="J100" s="1">
        <v>1</v>
      </c>
      <c r="K100" s="1" t="s">
        <v>24</v>
      </c>
      <c r="L100" s="1">
        <v>12.48</v>
      </c>
      <c r="M100" s="1" t="s">
        <v>25</v>
      </c>
      <c r="N100" s="3" t="s">
        <v>1639</v>
      </c>
      <c r="O100" s="1"/>
    </row>
    <row r="101" spans="1:15" x14ac:dyDescent="0.25">
      <c r="A101" s="2" t="s">
        <v>945</v>
      </c>
      <c r="B101" s="1" t="s">
        <v>394</v>
      </c>
      <c r="C101" s="1" t="s">
        <v>946</v>
      </c>
      <c r="D101" s="1" t="s">
        <v>947</v>
      </c>
      <c r="E101" s="1" t="str">
        <f>VLOOKUP(Table1[[#This Row],[Navn DK]],product_nodes_new_id!A:C,3,FALSE)</f>
        <v>cde8fc0b-16d0-455a-bf9a-d74e1ee76ea7</v>
      </c>
      <c r="F101" s="1">
        <v>5.38635663985026</v>
      </c>
      <c r="G101" s="1">
        <v>7.9650124516137497</v>
      </c>
      <c r="H101" s="1">
        <v>0</v>
      </c>
      <c r="I101" s="1">
        <v>-2.7684054857388198</v>
      </c>
      <c r="J101" s="1">
        <v>1</v>
      </c>
      <c r="K101" s="1" t="s">
        <v>24</v>
      </c>
      <c r="L101" s="1">
        <v>2</v>
      </c>
      <c r="M101" s="1" t="s">
        <v>25</v>
      </c>
      <c r="N101" s="3" t="s">
        <v>1642</v>
      </c>
      <c r="O101" s="1"/>
    </row>
    <row r="102" spans="1:15" x14ac:dyDescent="0.25">
      <c r="A102" s="2" t="s">
        <v>96</v>
      </c>
      <c r="B102" s="1" t="s">
        <v>14</v>
      </c>
      <c r="C102" s="1" t="s">
        <v>22</v>
      </c>
      <c r="D102" s="1" t="s">
        <v>97</v>
      </c>
      <c r="E102" s="1" t="str">
        <f>VLOOKUP(Table1[[#This Row],[Navn DK]],product_nodes_new_id!A:C,3,FALSE)</f>
        <v>2a4eeb06-d482-4d14-a273-25c588249278</v>
      </c>
      <c r="F102" s="1">
        <v>215</v>
      </c>
      <c r="G102" s="1">
        <v>6.94</v>
      </c>
      <c r="H102" s="1">
        <v>5.13</v>
      </c>
      <c r="I102" s="1">
        <v>-4.74</v>
      </c>
      <c r="J102" s="1">
        <v>1</v>
      </c>
      <c r="K102" s="1" t="s">
        <v>68</v>
      </c>
      <c r="L102" s="1">
        <v>2212</v>
      </c>
      <c r="M102" s="1" t="s">
        <v>69</v>
      </c>
      <c r="N102" s="3" t="s">
        <v>98</v>
      </c>
      <c r="O102" s="1"/>
    </row>
    <row r="103" spans="1:15" x14ac:dyDescent="0.25">
      <c r="A103" s="2" t="s">
        <v>102</v>
      </c>
      <c r="B103" s="1" t="s">
        <v>14</v>
      </c>
      <c r="C103" s="1" t="s">
        <v>22</v>
      </c>
      <c r="D103" s="1" t="s">
        <v>103</v>
      </c>
      <c r="E103" s="1" t="str">
        <f>VLOOKUP(Table1[[#This Row],[Navn DK]],product_nodes_new_id!A:C,3,FALSE)</f>
        <v>28349df7-497b-441c-887a-13f575e90704</v>
      </c>
      <c r="F103" s="1">
        <v>241</v>
      </c>
      <c r="G103" s="1">
        <v>6.73</v>
      </c>
      <c r="H103" s="1">
        <v>4.97</v>
      </c>
      <c r="I103" s="1">
        <v>-4.5999999999999996</v>
      </c>
      <c r="J103" s="1">
        <v>1</v>
      </c>
      <c r="K103" s="1" t="s">
        <v>68</v>
      </c>
      <c r="L103" s="1">
        <v>2246</v>
      </c>
      <c r="M103" s="1" t="s">
        <v>69</v>
      </c>
      <c r="N103" s="3" t="s">
        <v>98</v>
      </c>
      <c r="O103" s="1"/>
    </row>
    <row r="104" spans="1:15" x14ac:dyDescent="0.25">
      <c r="A104" s="2" t="s">
        <v>107</v>
      </c>
      <c r="B104" s="1" t="s">
        <v>14</v>
      </c>
      <c r="C104" s="1" t="s">
        <v>22</v>
      </c>
      <c r="D104" s="1" t="s">
        <v>108</v>
      </c>
      <c r="E104" s="1" t="str">
        <f>VLOOKUP(Table1[[#This Row],[Navn DK]],product_nodes_new_id!A:C,3,FALSE)</f>
        <v>459ec55a-4e24-4612-8e0f-a3778eba2466</v>
      </c>
      <c r="F104" s="1">
        <v>282</v>
      </c>
      <c r="G104" s="1">
        <v>6.72</v>
      </c>
      <c r="H104" s="1">
        <v>4.97</v>
      </c>
      <c r="I104" s="1">
        <v>-4.5999999999999996</v>
      </c>
      <c r="J104" s="1">
        <v>1</v>
      </c>
      <c r="K104" s="1" t="s">
        <v>68</v>
      </c>
      <c r="L104" s="1">
        <v>2255</v>
      </c>
      <c r="M104" s="1" t="s">
        <v>69</v>
      </c>
      <c r="N104" s="3" t="s">
        <v>106</v>
      </c>
      <c r="O104" s="1"/>
    </row>
    <row r="105" spans="1:15" x14ac:dyDescent="0.25">
      <c r="A105" s="2" t="s">
        <v>112</v>
      </c>
      <c r="B105" s="1" t="s">
        <v>14</v>
      </c>
      <c r="C105" s="1" t="s">
        <v>22</v>
      </c>
      <c r="D105" s="1" t="s">
        <v>113</v>
      </c>
      <c r="E105" s="1" t="str">
        <f>VLOOKUP(Table1[[#This Row],[Navn DK]],product_nodes_new_id!A:C,3,FALSE)</f>
        <v>44de1496-59c5-49ba-bef7-d7e3ec718f59</v>
      </c>
      <c r="F105" s="1">
        <v>362</v>
      </c>
      <c r="G105" s="1">
        <v>7.07</v>
      </c>
      <c r="H105" s="1">
        <v>5.23</v>
      </c>
      <c r="I105" s="1">
        <v>-4.84</v>
      </c>
      <c r="J105" s="1">
        <v>1</v>
      </c>
      <c r="K105" s="1" t="s">
        <v>68</v>
      </c>
      <c r="L105" s="1">
        <v>2267</v>
      </c>
      <c r="M105" s="1" t="s">
        <v>69</v>
      </c>
      <c r="N105" s="3" t="s">
        <v>111</v>
      </c>
      <c r="O105" s="1"/>
    </row>
    <row r="106" spans="1:15" x14ac:dyDescent="0.25">
      <c r="A106" s="2" t="s">
        <v>118</v>
      </c>
      <c r="B106" s="1" t="s">
        <v>14</v>
      </c>
      <c r="C106" s="1" t="s">
        <v>22</v>
      </c>
      <c r="D106" s="1" t="s">
        <v>119</v>
      </c>
      <c r="E106" s="1" t="str">
        <f>VLOOKUP(Table1[[#This Row],[Navn DK]],product_nodes_new_id!A:C,3,FALSE)</f>
        <v>9aff917e-d287-4300-be30-fb91b7c0f80e</v>
      </c>
      <c r="F106" s="1">
        <v>403</v>
      </c>
      <c r="G106" s="1">
        <v>6.85</v>
      </c>
      <c r="H106" s="1">
        <v>5.0599999999999996</v>
      </c>
      <c r="I106" s="1">
        <v>-4.68</v>
      </c>
      <c r="J106" s="1">
        <v>1</v>
      </c>
      <c r="K106" s="1" t="s">
        <v>68</v>
      </c>
      <c r="L106" s="1">
        <v>2304</v>
      </c>
      <c r="M106" s="1" t="s">
        <v>69</v>
      </c>
      <c r="N106" s="3" t="s">
        <v>111</v>
      </c>
      <c r="O106" s="1"/>
    </row>
    <row r="107" spans="1:15" x14ac:dyDescent="0.25">
      <c r="A107" s="2" t="s">
        <v>109</v>
      </c>
      <c r="B107" s="1" t="s">
        <v>14</v>
      </c>
      <c r="C107" s="1" t="s">
        <v>22</v>
      </c>
      <c r="D107" s="1" t="s">
        <v>110</v>
      </c>
      <c r="E107" s="1" t="str">
        <f>VLOOKUP(Table1[[#This Row],[Navn DK]],product_nodes_new_id!A:C,3,FALSE)</f>
        <v>f68d635c-e260-4de1-898b-43abd5cb1337</v>
      </c>
      <c r="F107" s="1">
        <v>377</v>
      </c>
      <c r="G107" s="1">
        <v>6.63</v>
      </c>
      <c r="H107" s="1">
        <v>4.9000000000000004</v>
      </c>
      <c r="I107" s="1">
        <v>-4.54</v>
      </c>
      <c r="J107" s="1">
        <v>1</v>
      </c>
      <c r="K107" s="1" t="s">
        <v>68</v>
      </c>
      <c r="L107" s="1">
        <v>2256</v>
      </c>
      <c r="M107" s="1" t="s">
        <v>69</v>
      </c>
      <c r="N107" s="3" t="s">
        <v>111</v>
      </c>
      <c r="O107" s="1"/>
    </row>
    <row r="108" spans="1:15" x14ac:dyDescent="0.25">
      <c r="A108" s="2" t="s">
        <v>104</v>
      </c>
      <c r="B108" s="1" t="s">
        <v>14</v>
      </c>
      <c r="C108" s="1" t="s">
        <v>22</v>
      </c>
      <c r="D108" s="1" t="s">
        <v>105</v>
      </c>
      <c r="E108" s="1" t="str">
        <f>VLOOKUP(Table1[[#This Row],[Navn DK]],product_nodes_new_id!A:C,3,FALSE)</f>
        <v>d5924fe9-5664-4272-8a74-d51c82e6b757</v>
      </c>
      <c r="F108" s="1">
        <v>300</v>
      </c>
      <c r="G108" s="1">
        <v>6.54</v>
      </c>
      <c r="H108" s="1">
        <v>4.83</v>
      </c>
      <c r="I108" s="1">
        <v>-4.47</v>
      </c>
      <c r="J108" s="1">
        <v>1</v>
      </c>
      <c r="K108" s="1" t="s">
        <v>68</v>
      </c>
      <c r="L108" s="1">
        <v>2254</v>
      </c>
      <c r="M108" s="1" t="s">
        <v>69</v>
      </c>
      <c r="N108" s="3" t="s">
        <v>106</v>
      </c>
      <c r="O108" s="1"/>
    </row>
    <row r="109" spans="1:15" x14ac:dyDescent="0.25">
      <c r="A109" s="2" t="s">
        <v>114</v>
      </c>
      <c r="B109" s="1" t="s">
        <v>14</v>
      </c>
      <c r="C109" s="1" t="s">
        <v>22</v>
      </c>
      <c r="D109" s="1" t="s">
        <v>115</v>
      </c>
      <c r="E109" s="1" t="str">
        <f>VLOOKUP(Table1[[#This Row],[Navn DK]],product_nodes_new_id!A:C,3,FALSE)</f>
        <v>c59e9fdd-b6e8-4897-b423-48f62b3e6dfd</v>
      </c>
      <c r="F109" s="1">
        <v>429</v>
      </c>
      <c r="G109" s="1">
        <v>6.77</v>
      </c>
      <c r="H109" s="1">
        <v>5</v>
      </c>
      <c r="I109" s="1">
        <v>-4.63</v>
      </c>
      <c r="J109" s="1">
        <v>1</v>
      </c>
      <c r="K109" s="1" t="s">
        <v>68</v>
      </c>
      <c r="L109" s="1">
        <v>2267</v>
      </c>
      <c r="M109" s="1" t="s">
        <v>69</v>
      </c>
      <c r="N109" s="3" t="s">
        <v>101</v>
      </c>
      <c r="O109" s="1"/>
    </row>
    <row r="110" spans="1:15" x14ac:dyDescent="0.25">
      <c r="A110" s="2" t="s">
        <v>116</v>
      </c>
      <c r="B110" s="1" t="s">
        <v>14</v>
      </c>
      <c r="C110" s="1" t="s">
        <v>22</v>
      </c>
      <c r="D110" s="1" t="s">
        <v>117</v>
      </c>
      <c r="E110" s="1" t="str">
        <f>VLOOKUP(Table1[[#This Row],[Navn DK]],product_nodes_new_id!A:C,3,FALSE)</f>
        <v>a4e8d0d6-16bb-4cc3-93e1-1b57a8f2cfd0</v>
      </c>
      <c r="F110" s="1">
        <v>465</v>
      </c>
      <c r="G110" s="1">
        <v>6.95</v>
      </c>
      <c r="H110" s="1">
        <v>5.14</v>
      </c>
      <c r="I110" s="1">
        <v>-4.76</v>
      </c>
      <c r="J110" s="1">
        <v>1</v>
      </c>
      <c r="K110" s="1" t="s">
        <v>68</v>
      </c>
      <c r="L110" s="1">
        <v>2284</v>
      </c>
      <c r="M110" s="1" t="s">
        <v>69</v>
      </c>
      <c r="N110" s="3" t="s">
        <v>101</v>
      </c>
      <c r="O110" s="1"/>
    </row>
    <row r="111" spans="1:15" x14ac:dyDescent="0.25">
      <c r="A111" s="2" t="s">
        <v>99</v>
      </c>
      <c r="B111" s="1" t="s">
        <v>14</v>
      </c>
      <c r="C111" s="1" t="s">
        <v>22</v>
      </c>
      <c r="D111" s="1" t="s">
        <v>100</v>
      </c>
      <c r="E111" s="1" t="str">
        <f>VLOOKUP(Table1[[#This Row],[Navn DK]],product_nodes_new_id!A:C,3,FALSE)</f>
        <v>6d4038c3-8dec-4263-86c9-4b482707812c</v>
      </c>
      <c r="F111" s="1">
        <v>426</v>
      </c>
      <c r="G111" s="1">
        <v>6.75</v>
      </c>
      <c r="H111" s="1">
        <v>4.99</v>
      </c>
      <c r="I111" s="1">
        <v>-4.62</v>
      </c>
      <c r="J111" s="1">
        <v>1</v>
      </c>
      <c r="K111" s="1" t="s">
        <v>68</v>
      </c>
      <c r="L111" s="1">
        <v>2229</v>
      </c>
      <c r="M111" s="1" t="s">
        <v>69</v>
      </c>
      <c r="N111" s="3" t="s">
        <v>101</v>
      </c>
      <c r="O111" s="1"/>
    </row>
    <row r="112" spans="1:15" x14ac:dyDescent="0.25">
      <c r="A112" s="2" t="s">
        <v>1100</v>
      </c>
      <c r="B112" s="1" t="s">
        <v>394</v>
      </c>
      <c r="C112" s="1" t="s">
        <v>1101</v>
      </c>
      <c r="D112" s="1" t="s">
        <v>1102</v>
      </c>
      <c r="E112" s="1" t="str">
        <f>VLOOKUP(Table1[[#This Row],[Navn DK]],product_nodes_new_id!A:C,3,FALSE)</f>
        <v>7b8ea2df-a8ed-4628-b48d-07b875894f18</v>
      </c>
      <c r="F112" s="1">
        <v>532.86184604044195</v>
      </c>
      <c r="G112" s="1">
        <v>13.531849233391601</v>
      </c>
      <c r="H112" s="1">
        <v>0</v>
      </c>
      <c r="I112" s="1">
        <v>-3.14923925791985</v>
      </c>
      <c r="J112" s="1">
        <v>1</v>
      </c>
      <c r="K112" s="1" t="s">
        <v>68</v>
      </c>
      <c r="L112" s="1">
        <v>2000</v>
      </c>
      <c r="M112" s="1" t="s">
        <v>69</v>
      </c>
      <c r="N112" s="3" t="s">
        <v>1658</v>
      </c>
      <c r="O112" s="1"/>
    </row>
    <row r="113" spans="1:15" x14ac:dyDescent="0.25">
      <c r="A113" s="2" t="s">
        <v>274</v>
      </c>
      <c r="B113" s="1" t="s">
        <v>130</v>
      </c>
      <c r="C113" s="1" t="s">
        <v>22</v>
      </c>
      <c r="D113" s="1" t="s">
        <v>275</v>
      </c>
      <c r="E113" s="1" t="str">
        <f>VLOOKUP(Table1[[#This Row],[Navn DK]],product_nodes_new_id!A:C,3,FALSE)</f>
        <v>5a4a0b3d-d103-4335-9287-24aead794b8d</v>
      </c>
      <c r="F113" s="1">
        <v>1.7854736842105265</v>
      </c>
      <c r="G113" s="1">
        <v>1.7901052631578949</v>
      </c>
      <c r="H113" s="1">
        <v>0</v>
      </c>
      <c r="I113" s="1">
        <v>-0.5816842105263158</v>
      </c>
      <c r="J113" s="1">
        <v>1</v>
      </c>
      <c r="K113" s="1" t="s">
        <v>248</v>
      </c>
      <c r="L113" s="1">
        <v>35</v>
      </c>
      <c r="M113" s="1" t="s">
        <v>69</v>
      </c>
      <c r="N113" s="3" t="s">
        <v>133</v>
      </c>
      <c r="O113" s="1"/>
    </row>
    <row r="114" spans="1:15" x14ac:dyDescent="0.25">
      <c r="A114" s="2" t="s">
        <v>351</v>
      </c>
      <c r="B114" s="1" t="s">
        <v>130</v>
      </c>
      <c r="C114" s="1" t="s">
        <v>22</v>
      </c>
      <c r="D114" s="1" t="s">
        <v>352</v>
      </c>
      <c r="E114" s="1" t="str">
        <f>VLOOKUP(Table1[[#This Row],[Navn DK]],product_nodes_new_id!A:C,3,FALSE)</f>
        <v>8188a2bf-e276-49dd-bd1b-16798de199be</v>
      </c>
      <c r="F114" s="1">
        <v>901.351</v>
      </c>
      <c r="G114" s="1">
        <v>0</v>
      </c>
      <c r="H114" s="1">
        <v>17.410711623931601</v>
      </c>
      <c r="I114" s="1">
        <v>0</v>
      </c>
      <c r="J114" s="1">
        <v>1</v>
      </c>
      <c r="K114" s="1" t="s">
        <v>339</v>
      </c>
      <c r="L114" s="1">
        <v>1590</v>
      </c>
      <c r="M114" s="1" t="s">
        <v>69</v>
      </c>
      <c r="N114" s="3" t="s">
        <v>133</v>
      </c>
      <c r="O114" s="1"/>
    </row>
    <row r="115" spans="1:15" x14ac:dyDescent="0.25">
      <c r="A115" s="2" t="s">
        <v>215</v>
      </c>
      <c r="B115" s="1" t="s">
        <v>130</v>
      </c>
      <c r="C115" s="1" t="s">
        <v>22</v>
      </c>
      <c r="D115" s="1" t="s">
        <v>216</v>
      </c>
      <c r="E115" s="1" t="str">
        <f>VLOOKUP(Table1[[#This Row],[Navn DK]],product_nodes_new_id!A:C,3,FALSE)</f>
        <v>d3e37ae9-5c81-4896-bae9-9acd9217835a</v>
      </c>
      <c r="F115" s="1">
        <v>12.870000000000001</v>
      </c>
      <c r="G115" s="1">
        <v>0</v>
      </c>
      <c r="H115" s="1">
        <v>0.24860000000000002</v>
      </c>
      <c r="I115" s="1">
        <v>0</v>
      </c>
      <c r="J115" s="1">
        <v>1</v>
      </c>
      <c r="K115" s="1" t="s">
        <v>24</v>
      </c>
      <c r="L115" s="1">
        <v>14.4</v>
      </c>
      <c r="M115" s="1" t="s">
        <v>25</v>
      </c>
      <c r="N115" s="3" t="s">
        <v>133</v>
      </c>
      <c r="O115" s="1"/>
    </row>
    <row r="116" spans="1:15" x14ac:dyDescent="0.25">
      <c r="A116" s="2" t="s">
        <v>870</v>
      </c>
      <c r="B116" s="1" t="s">
        <v>394</v>
      </c>
      <c r="C116" s="1" t="s">
        <v>871</v>
      </c>
      <c r="D116" s="1" t="s">
        <v>872</v>
      </c>
      <c r="E116" s="1" t="str">
        <f>VLOOKUP(Table1[[#This Row],[Navn DK]],product_nodes_new_id!A:C,3,FALSE)</f>
        <v>95f36a7e-a93d-4193-b5bc-4f8738aef9fa</v>
      </c>
      <c r="F116" s="1">
        <v>1.21733972018943</v>
      </c>
      <c r="G116" s="1">
        <v>1.88307182208276</v>
      </c>
      <c r="H116" s="1">
        <v>0</v>
      </c>
      <c r="I116" s="1">
        <v>-0.65448716646542904</v>
      </c>
      <c r="J116" s="1">
        <v>1</v>
      </c>
      <c r="K116" s="1" t="s">
        <v>24</v>
      </c>
      <c r="L116" s="1">
        <v>0.5</v>
      </c>
      <c r="M116" s="1" t="s">
        <v>25</v>
      </c>
      <c r="N116" s="3" t="s">
        <v>1633</v>
      </c>
      <c r="O116" s="1"/>
    </row>
    <row r="117" spans="1:15" x14ac:dyDescent="0.25">
      <c r="A117" s="2" t="s">
        <v>349</v>
      </c>
      <c r="B117" s="1" t="s">
        <v>130</v>
      </c>
      <c r="C117" s="1" t="s">
        <v>22</v>
      </c>
      <c r="D117" s="1" t="s">
        <v>350</v>
      </c>
      <c r="E117" s="1" t="str">
        <f>VLOOKUP(Table1[[#This Row],[Navn DK]],product_nodes_new_id!A:C,3,FALSE)</f>
        <v>2652aae3-8502-40bd-aaff-c0ed49017383</v>
      </c>
      <c r="F117" s="1">
        <v>445.50000000000006</v>
      </c>
      <c r="G117" s="1">
        <v>0</v>
      </c>
      <c r="H117" s="1">
        <v>5.8080000000000007</v>
      </c>
      <c r="I117" s="1">
        <v>0</v>
      </c>
      <c r="J117" s="1">
        <v>1</v>
      </c>
      <c r="K117" s="1" t="s">
        <v>339</v>
      </c>
      <c r="L117" s="1">
        <v>1400</v>
      </c>
      <c r="M117" s="1" t="s">
        <v>69</v>
      </c>
      <c r="N117" s="3" t="s">
        <v>133</v>
      </c>
      <c r="O117" s="1"/>
    </row>
    <row r="118" spans="1:15" x14ac:dyDescent="0.25">
      <c r="A118" s="2" t="s">
        <v>145</v>
      </c>
      <c r="B118" s="1" t="s">
        <v>130</v>
      </c>
      <c r="C118" s="1" t="s">
        <v>22</v>
      </c>
      <c r="D118" s="1" t="s">
        <v>146</v>
      </c>
      <c r="E118" s="1" t="str">
        <f>VLOOKUP(Table1[[#This Row],[Navn DK]],product_nodes_new_id!A:C,3,FALSE)</f>
        <v>39845907-4f06-411e-b944-d81d43aa71fa</v>
      </c>
      <c r="F118" s="1">
        <v>4.6553383603781553</v>
      </c>
      <c r="G118" s="1">
        <v>0.23962070732957458</v>
      </c>
      <c r="H118" s="1">
        <v>3.5435939418747446E-2</v>
      </c>
      <c r="I118" s="1">
        <v>-0.50159521435692922</v>
      </c>
      <c r="J118" s="1">
        <v>1</v>
      </c>
      <c r="K118" s="1" t="s">
        <v>17</v>
      </c>
      <c r="L118" s="1">
        <v>23.2</v>
      </c>
      <c r="M118" s="1" t="s">
        <v>124</v>
      </c>
      <c r="N118" s="3" t="s">
        <v>133</v>
      </c>
      <c r="O118" s="1"/>
    </row>
    <row r="119" spans="1:15" x14ac:dyDescent="0.25">
      <c r="A119" s="2" t="s">
        <v>393</v>
      </c>
      <c r="B119" s="1" t="s">
        <v>394</v>
      </c>
      <c r="C119" s="1" t="s">
        <v>395</v>
      </c>
      <c r="D119" s="1" t="s">
        <v>396</v>
      </c>
      <c r="E119" s="1" t="str">
        <f>VLOOKUP(Table1[[#This Row],[Navn DK]],product_nodes_new_id!A:C,3,FALSE)</f>
        <v>ab19fc9f-3fd5-48c0-8fbc-df9e6cbe2e63</v>
      </c>
      <c r="F119" s="1">
        <v>4.5423531471817</v>
      </c>
      <c r="G119" s="1">
        <v>0.188624427150552</v>
      </c>
      <c r="H119" s="1">
        <v>1.1983199676393301E-2</v>
      </c>
      <c r="I119" s="1">
        <v>-1.0213585911931999</v>
      </c>
      <c r="J119" s="1">
        <v>1</v>
      </c>
      <c r="K119" s="1" t="s">
        <v>17</v>
      </c>
      <c r="L119" s="1">
        <v>1</v>
      </c>
      <c r="M119" s="1" t="s">
        <v>18</v>
      </c>
      <c r="N119" s="15" t="s">
        <v>397</v>
      </c>
      <c r="O119" s="1"/>
    </row>
    <row r="120" spans="1:15" x14ac:dyDescent="0.25">
      <c r="A120" s="2" t="s">
        <v>151</v>
      </c>
      <c r="B120" s="1" t="s">
        <v>130</v>
      </c>
      <c r="C120" s="1" t="s">
        <v>22</v>
      </c>
      <c r="D120" s="1" t="s">
        <v>152</v>
      </c>
      <c r="E120" s="1" t="str">
        <f>VLOOKUP(Table1[[#This Row],[Navn DK]],product_nodes_new_id!A:C,3,FALSE)</f>
        <v>3aa9eb6e-7075-4518-845d-8c92c845931e</v>
      </c>
      <c r="F120" s="1">
        <v>1.4960000000000002</v>
      </c>
      <c r="G120" s="1">
        <v>0.47190000000000004</v>
      </c>
      <c r="H120" s="1">
        <v>1.8810000000000004E-2</v>
      </c>
      <c r="I120" s="1">
        <v>-3.1500000000000007E-2</v>
      </c>
      <c r="J120" s="1">
        <v>1</v>
      </c>
      <c r="K120" s="1" t="s">
        <v>17</v>
      </c>
      <c r="L120" s="1">
        <v>2300</v>
      </c>
      <c r="M120" s="1" t="s">
        <v>69</v>
      </c>
      <c r="N120" s="3" t="s">
        <v>133</v>
      </c>
      <c r="O120" s="1"/>
    </row>
    <row r="121" spans="1:15" x14ac:dyDescent="0.25">
      <c r="A121" s="2" t="s">
        <v>337</v>
      </c>
      <c r="B121" s="1" t="s">
        <v>130</v>
      </c>
      <c r="C121" s="1" t="s">
        <v>22</v>
      </c>
      <c r="D121" s="1" t="s">
        <v>338</v>
      </c>
      <c r="E121" s="1" t="str">
        <f>VLOOKUP(Table1[[#This Row],[Navn DK]],product_nodes_new_id!A:C,3,FALSE)</f>
        <v>21ac61e5-7dab-48f0-81c1-23572493beb5</v>
      </c>
      <c r="F121" s="1">
        <v>331.1</v>
      </c>
      <c r="G121" s="1">
        <v>0.27500000000000002</v>
      </c>
      <c r="H121" s="1">
        <v>18.810000000000002</v>
      </c>
      <c r="I121" s="1">
        <v>-3.2130000000000001</v>
      </c>
      <c r="J121" s="1">
        <v>1</v>
      </c>
      <c r="K121" s="1" t="s">
        <v>339</v>
      </c>
      <c r="L121" s="1">
        <v>1.7625</v>
      </c>
      <c r="M121" s="1" t="s">
        <v>340</v>
      </c>
      <c r="N121" s="3" t="s">
        <v>133</v>
      </c>
      <c r="O121" s="1"/>
    </row>
    <row r="122" spans="1:15" x14ac:dyDescent="0.25">
      <c r="A122" s="2" t="s">
        <v>881</v>
      </c>
      <c r="B122" s="1" t="s">
        <v>394</v>
      </c>
      <c r="C122" s="1" t="s">
        <v>882</v>
      </c>
      <c r="D122" s="1" t="s">
        <v>883</v>
      </c>
      <c r="E122" s="1" t="str">
        <f>VLOOKUP(Table1[[#This Row],[Navn DK]],product_nodes_new_id!A:C,3,FALSE)</f>
        <v>7ebc85e6-7eb4-4ce2-9e8b-470fe7c5042f</v>
      </c>
      <c r="F122" s="1">
        <v>3.4378362286317801</v>
      </c>
      <c r="G122" s="1">
        <v>3.7516225338676401</v>
      </c>
      <c r="H122" s="1">
        <v>0</v>
      </c>
      <c r="I122" s="1">
        <v>-0.77150103565040495</v>
      </c>
      <c r="J122" s="1">
        <v>1</v>
      </c>
      <c r="K122" s="1" t="s">
        <v>24</v>
      </c>
      <c r="L122" s="1">
        <v>1.1299999999999999</v>
      </c>
      <c r="M122" s="1" t="s">
        <v>25</v>
      </c>
      <c r="N122" s="3" t="s">
        <v>884</v>
      </c>
      <c r="O122" s="1"/>
    </row>
    <row r="123" spans="1:15" x14ac:dyDescent="0.25">
      <c r="A123" s="2" t="s">
        <v>889</v>
      </c>
      <c r="B123" s="1" t="s">
        <v>394</v>
      </c>
      <c r="C123" s="1" t="s">
        <v>890</v>
      </c>
      <c r="D123" s="1" t="s">
        <v>891</v>
      </c>
      <c r="E123" s="1" t="str">
        <f>VLOOKUP(Table1[[#This Row],[Navn DK]],product_nodes_new_id!A:C,3,FALSE)</f>
        <v>1348baec-b7fc-42fa-aa88-c2b21fb51a8b</v>
      </c>
      <c r="F123" s="1">
        <v>3.1373122646165199</v>
      </c>
      <c r="G123" s="1">
        <v>4.83973246618842</v>
      </c>
      <c r="H123" s="1">
        <v>0</v>
      </c>
      <c r="I123" s="1">
        <v>-1.68210724622609</v>
      </c>
      <c r="J123" s="1">
        <v>1</v>
      </c>
      <c r="K123" s="1" t="s">
        <v>24</v>
      </c>
      <c r="L123" s="1">
        <v>1.3</v>
      </c>
      <c r="M123" s="1" t="s">
        <v>25</v>
      </c>
      <c r="N123" s="3" t="s">
        <v>1634</v>
      </c>
      <c r="O123" s="1"/>
    </row>
    <row r="124" spans="1:15" x14ac:dyDescent="0.25">
      <c r="A124" s="2" t="s">
        <v>129</v>
      </c>
      <c r="B124" s="1" t="s">
        <v>130</v>
      </c>
      <c r="C124" s="1" t="s">
        <v>22</v>
      </c>
      <c r="D124" s="1" t="s">
        <v>131</v>
      </c>
      <c r="E124" s="1" t="str">
        <f>VLOOKUP(Table1[[#This Row],[Navn DK]],product_nodes_new_id!A:C,3,FALSE)</f>
        <v>1d24d306-f63c-4ee9-8a08-6fd06eb6f71d</v>
      </c>
      <c r="F124" s="1">
        <v>5.8960000000000008</v>
      </c>
      <c r="G124" s="1">
        <v>0.47190000000000004</v>
      </c>
      <c r="H124" s="1">
        <v>0</v>
      </c>
      <c r="I124" s="1">
        <v>-0.56069999999999998</v>
      </c>
      <c r="J124" s="1">
        <v>1</v>
      </c>
      <c r="K124" s="1" t="s">
        <v>17</v>
      </c>
      <c r="L124" s="1">
        <v>1.5</v>
      </c>
      <c r="M124" s="1" t="s">
        <v>132</v>
      </c>
      <c r="N124" s="3" t="s">
        <v>133</v>
      </c>
      <c r="O124" s="1"/>
    </row>
    <row r="125" spans="1:15" x14ac:dyDescent="0.25">
      <c r="A125" s="2" t="s">
        <v>885</v>
      </c>
      <c r="B125" s="1" t="s">
        <v>394</v>
      </c>
      <c r="C125" s="1" t="s">
        <v>886</v>
      </c>
      <c r="D125" s="1" t="s">
        <v>887</v>
      </c>
      <c r="E125" s="1" t="str">
        <f>VLOOKUP(Table1[[#This Row],[Navn DK]],product_nodes_new_id!A:C,3,FALSE)</f>
        <v>e37ad9f0-bf48-418d-bdb2-0491a1a541b7</v>
      </c>
      <c r="F125" s="1">
        <v>4.1174061576412297</v>
      </c>
      <c r="G125" s="1">
        <v>4.1427794993901097</v>
      </c>
      <c r="H125" s="1">
        <v>0</v>
      </c>
      <c r="I125" s="1">
        <v>-1.71212128277457</v>
      </c>
      <c r="J125" s="1">
        <v>1</v>
      </c>
      <c r="K125" s="1" t="s">
        <v>24</v>
      </c>
      <c r="L125" s="1">
        <v>1.2</v>
      </c>
      <c r="M125" s="1" t="s">
        <v>25</v>
      </c>
      <c r="N125" s="3" t="s">
        <v>888</v>
      </c>
      <c r="O125" s="1"/>
    </row>
    <row r="126" spans="1:15" x14ac:dyDescent="0.25">
      <c r="A126" s="2" t="s">
        <v>347</v>
      </c>
      <c r="B126" s="1" t="s">
        <v>130</v>
      </c>
      <c r="C126" s="1" t="s">
        <v>22</v>
      </c>
      <c r="D126" s="1" t="s">
        <v>348</v>
      </c>
      <c r="E126" s="1" t="str">
        <f>VLOOKUP(Table1[[#This Row],[Navn DK]],product_nodes_new_id!A:C,3,FALSE)</f>
        <v>46bd3789-e81c-4f09-9b99-0b3e569a3c5c</v>
      </c>
      <c r="F126" s="1">
        <v>195.25000000000003</v>
      </c>
      <c r="G126" s="1">
        <v>0.99990000000000012</v>
      </c>
      <c r="H126" s="1">
        <v>0.90310000000000001</v>
      </c>
      <c r="I126" s="1">
        <v>-1.8450000000000002</v>
      </c>
      <c r="J126" s="1">
        <v>1</v>
      </c>
      <c r="K126" s="1" t="s">
        <v>339</v>
      </c>
      <c r="L126" s="1">
        <v>1344</v>
      </c>
      <c r="M126" s="1" t="s">
        <v>69</v>
      </c>
      <c r="N126" s="3" t="s">
        <v>133</v>
      </c>
      <c r="O126" s="1"/>
    </row>
    <row r="127" spans="1:15" x14ac:dyDescent="0.25">
      <c r="A127" s="2" t="s">
        <v>367</v>
      </c>
      <c r="B127" s="1" t="s">
        <v>130</v>
      </c>
      <c r="C127" s="1" t="s">
        <v>22</v>
      </c>
      <c r="D127" s="1" t="s">
        <v>368</v>
      </c>
      <c r="E127" s="1" t="str">
        <f>VLOOKUP(Table1[[#This Row],[Navn DK]],product_nodes_new_id!A:C,3,FALSE)</f>
        <v>816a11ab-1b62-4c25-86a8-951c4db8b73c</v>
      </c>
      <c r="F127" s="1">
        <v>162.80000000000001</v>
      </c>
      <c r="G127" s="1">
        <v>2.9810000000000003</v>
      </c>
      <c r="H127" s="1">
        <v>0.1595</v>
      </c>
      <c r="I127" s="1">
        <v>-1.8180000000000001</v>
      </c>
      <c r="J127" s="1">
        <v>1</v>
      </c>
      <c r="K127" s="1" t="s">
        <v>339</v>
      </c>
      <c r="L127" s="1">
        <v>1820</v>
      </c>
      <c r="M127" s="1" t="s">
        <v>69</v>
      </c>
      <c r="N127" s="3" t="s">
        <v>133</v>
      </c>
      <c r="O127" s="1"/>
    </row>
    <row r="128" spans="1:15" x14ac:dyDescent="0.25">
      <c r="A128" s="2" t="s">
        <v>1292</v>
      </c>
      <c r="B128" s="1" t="s">
        <v>394</v>
      </c>
      <c r="C128" s="1" t="s">
        <v>1293</v>
      </c>
      <c r="D128" s="1" t="s">
        <v>1294</v>
      </c>
      <c r="E128" s="1" t="str">
        <f>VLOOKUP(Table1[[#This Row],[Navn DK]],product_nodes_new_id!A:C,3,FALSE)</f>
        <v>66719b4e-5a9f-4055-a3f5-6e2425424c07</v>
      </c>
      <c r="F128" s="1">
        <v>344.78406804554203</v>
      </c>
      <c r="G128" s="1">
        <v>10.2672351316664</v>
      </c>
      <c r="H128" s="1">
        <v>7.5295510015403604</v>
      </c>
      <c r="I128" s="1">
        <v>-171.298879069436</v>
      </c>
      <c r="J128" s="1">
        <v>1</v>
      </c>
      <c r="K128" s="1" t="s">
        <v>123</v>
      </c>
      <c r="L128" s="1">
        <v>157</v>
      </c>
      <c r="M128" s="1" t="s">
        <v>124</v>
      </c>
      <c r="N128" s="3" t="s">
        <v>1295</v>
      </c>
      <c r="O128" s="1"/>
    </row>
    <row r="129" spans="1:15" x14ac:dyDescent="0.25">
      <c r="A129" s="2" t="s">
        <v>1260</v>
      </c>
      <c r="B129" s="1" t="s">
        <v>394</v>
      </c>
      <c r="C129" s="1" t="s">
        <v>1261</v>
      </c>
      <c r="D129" s="1" t="s">
        <v>1262</v>
      </c>
      <c r="E129" s="1" t="str">
        <f>VLOOKUP(Table1[[#This Row],[Navn DK]],product_nodes_new_id!A:C,3,FALSE)</f>
        <v>6997d180-f070-4452-b426-664de15cff9b</v>
      </c>
      <c r="F129" s="1">
        <v>414.31709862090298</v>
      </c>
      <c r="G129" s="1">
        <v>8.5716091614210708</v>
      </c>
      <c r="H129" s="1">
        <v>0.891070005559774</v>
      </c>
      <c r="I129" s="1">
        <v>-51.794674013705503</v>
      </c>
      <c r="J129" s="1">
        <v>1</v>
      </c>
      <c r="K129" s="1" t="s">
        <v>123</v>
      </c>
      <c r="L129" s="1">
        <v>118</v>
      </c>
      <c r="M129" s="1" t="s">
        <v>124</v>
      </c>
      <c r="N129" s="3" t="s">
        <v>1263</v>
      </c>
      <c r="O129" s="1"/>
    </row>
    <row r="130" spans="1:15" x14ac:dyDescent="0.25">
      <c r="A130" s="2" t="s">
        <v>1438</v>
      </c>
      <c r="B130" s="1" t="s">
        <v>394</v>
      </c>
      <c r="C130" s="1" t="s">
        <v>1439</v>
      </c>
      <c r="D130" s="1" t="s">
        <v>1440</v>
      </c>
      <c r="E130" s="1" t="str">
        <f>VLOOKUP(Table1[[#This Row],[Navn DK]],product_nodes_new_id!A:C,3,FALSE)</f>
        <v>e5289798-1334-4a61-a54e-24ee09052e5c</v>
      </c>
      <c r="F130" s="1">
        <v>2643.13589008393</v>
      </c>
      <c r="G130" s="1">
        <v>66.894752604326499</v>
      </c>
      <c r="H130" s="1">
        <v>3.2651647968202702</v>
      </c>
      <c r="I130" s="1">
        <v>-417.11441816285401</v>
      </c>
      <c r="J130" s="1">
        <v>1</v>
      </c>
      <c r="K130" s="1" t="s">
        <v>123</v>
      </c>
      <c r="L130" s="1">
        <v>937</v>
      </c>
      <c r="M130" s="1" t="s">
        <v>124</v>
      </c>
      <c r="N130" s="3" t="s">
        <v>1441</v>
      </c>
      <c r="O130" s="1"/>
    </row>
    <row r="131" spans="1:15" x14ac:dyDescent="0.25">
      <c r="A131" s="2" t="s">
        <v>1355</v>
      </c>
      <c r="B131" s="1" t="s">
        <v>394</v>
      </c>
      <c r="C131" s="1" t="s">
        <v>1356</v>
      </c>
      <c r="D131" s="1" t="s">
        <v>1357</v>
      </c>
      <c r="E131" s="1" t="str">
        <f>VLOOKUP(Table1[[#This Row],[Navn DK]],product_nodes_new_id!A:C,3,FALSE)</f>
        <v>e05e6421-ead4-42ff-8cf5-e4a480fd7878</v>
      </c>
      <c r="F131" s="1">
        <v>1025.2592609941</v>
      </c>
      <c r="G131" s="1">
        <v>21.200946644613001</v>
      </c>
      <c r="H131" s="1">
        <v>2.2060339147120001</v>
      </c>
      <c r="I131" s="1">
        <v>-129.54422827076601</v>
      </c>
      <c r="J131" s="1">
        <v>1</v>
      </c>
      <c r="K131" s="1" t="s">
        <v>123</v>
      </c>
      <c r="L131" s="1">
        <v>292</v>
      </c>
      <c r="M131" s="1" t="s">
        <v>124</v>
      </c>
      <c r="N131" s="3" t="s">
        <v>1358</v>
      </c>
      <c r="O131" s="1"/>
    </row>
    <row r="132" spans="1:15" x14ac:dyDescent="0.25">
      <c r="A132" s="2" t="s">
        <v>412</v>
      </c>
      <c r="B132" s="1" t="s">
        <v>394</v>
      </c>
      <c r="C132" s="1" t="s">
        <v>413</v>
      </c>
      <c r="D132" s="1" t="s">
        <v>414</v>
      </c>
      <c r="E132" s="1" t="str">
        <f>VLOOKUP(Table1[[#This Row],[Navn DK]],product_nodes_new_id!A:C,3,FALSE)</f>
        <v>42adf468-78b5-4b1a-bf94-bd736c5c0183</v>
      </c>
      <c r="F132" s="1">
        <v>0.100682742334716</v>
      </c>
      <c r="G132" s="1">
        <v>0</v>
      </c>
      <c r="H132" s="1">
        <v>1.6092731618195199E-2</v>
      </c>
      <c r="I132" s="1">
        <v>0</v>
      </c>
      <c r="J132" s="1">
        <v>1</v>
      </c>
      <c r="K132" s="1" t="s">
        <v>17</v>
      </c>
      <c r="L132" s="1">
        <v>1</v>
      </c>
      <c r="M132" s="1" t="s">
        <v>18</v>
      </c>
      <c r="N132" s="3" t="s">
        <v>1544</v>
      </c>
      <c r="O132" s="1"/>
    </row>
    <row r="133" spans="1:15" x14ac:dyDescent="0.25">
      <c r="A133" s="2" t="s">
        <v>977</v>
      </c>
      <c r="B133" s="1" t="s">
        <v>394</v>
      </c>
      <c r="C133" s="1" t="s">
        <v>978</v>
      </c>
      <c r="D133" s="1" t="s">
        <v>979</v>
      </c>
      <c r="E133" s="1" t="str">
        <f>VLOOKUP(Table1[[#This Row],[Navn DK]],product_nodes_new_id!A:C,3,FALSE)</f>
        <v>8223df93-8eee-4590-9be8-e195d3c6eae4</v>
      </c>
      <c r="F133" s="1">
        <v>7.34395223631505</v>
      </c>
      <c r="G133" s="1">
        <v>0</v>
      </c>
      <c r="H133" s="1">
        <v>0.38783483199850399</v>
      </c>
      <c r="I133" s="1">
        <v>0</v>
      </c>
      <c r="J133" s="1">
        <v>1</v>
      </c>
      <c r="K133" s="1" t="s">
        <v>24</v>
      </c>
      <c r="L133" s="1">
        <v>24.07</v>
      </c>
      <c r="M133" s="1" t="s">
        <v>25</v>
      </c>
      <c r="N133" s="3" t="s">
        <v>980</v>
      </c>
      <c r="O133" s="1"/>
    </row>
    <row r="134" spans="1:15" x14ac:dyDescent="0.25">
      <c r="A134" s="2" t="s">
        <v>962</v>
      </c>
      <c r="B134" s="1" t="s">
        <v>394</v>
      </c>
      <c r="C134" s="1" t="s">
        <v>963</v>
      </c>
      <c r="D134" s="1" t="s">
        <v>964</v>
      </c>
      <c r="E134" s="1" t="str">
        <f>VLOOKUP(Table1[[#This Row],[Navn DK]],product_nodes_new_id!A:C,3,FALSE)</f>
        <v>d26a5853-7f1f-4722-9b83-3bb72f74696e</v>
      </c>
      <c r="F134" s="1">
        <v>3.1837072602071501</v>
      </c>
      <c r="G134" s="1">
        <v>0</v>
      </c>
      <c r="H134" s="1">
        <v>1.52346390552572</v>
      </c>
      <c r="I134" s="1">
        <v>0</v>
      </c>
      <c r="J134" s="1">
        <v>1</v>
      </c>
      <c r="K134" s="1" t="s">
        <v>24</v>
      </c>
      <c r="L134" s="1">
        <v>20.07</v>
      </c>
      <c r="M134" s="1" t="s">
        <v>25</v>
      </c>
      <c r="N134" s="3" t="s">
        <v>965</v>
      </c>
      <c r="O134" s="1"/>
    </row>
    <row r="135" spans="1:15" x14ac:dyDescent="0.25">
      <c r="A135" s="2" t="s">
        <v>205</v>
      </c>
      <c r="B135" s="1" t="s">
        <v>130</v>
      </c>
      <c r="C135" s="1" t="s">
        <v>22</v>
      </c>
      <c r="D135" s="1" t="s">
        <v>206</v>
      </c>
      <c r="E135" s="1" t="str">
        <f>VLOOKUP(Table1[[#This Row],[Navn DK]],product_nodes_new_id!A:C,3,FALSE)</f>
        <v>33ea510b-a627-4fd2-812c-5f09b9484c5d</v>
      </c>
      <c r="F135" s="1">
        <v>2.5850000000000004</v>
      </c>
      <c r="G135" s="1">
        <v>5.2580000000000009E-2</v>
      </c>
      <c r="H135" s="1">
        <v>1.1440000000000001</v>
      </c>
      <c r="I135" s="1">
        <v>-0.23130000000000001</v>
      </c>
      <c r="J135" s="1">
        <v>1</v>
      </c>
      <c r="K135" s="1" t="s">
        <v>24</v>
      </c>
      <c r="L135" s="1">
        <v>10.6</v>
      </c>
      <c r="M135" s="1" t="s">
        <v>25</v>
      </c>
      <c r="N135" s="3" t="s">
        <v>133</v>
      </c>
      <c r="O135" s="1"/>
    </row>
    <row r="136" spans="1:15" x14ac:dyDescent="0.25">
      <c r="A136" s="2" t="s">
        <v>209</v>
      </c>
      <c r="B136" s="1" t="s">
        <v>130</v>
      </c>
      <c r="C136" s="1" t="s">
        <v>22</v>
      </c>
      <c r="D136" s="1" t="s">
        <v>210</v>
      </c>
      <c r="E136" s="1" t="str">
        <f>VLOOKUP(Table1[[#This Row],[Navn DK]],product_nodes_new_id!A:C,3,FALSE)</f>
        <v>550d0df1-cdfa-4553-9a85-c33d64d3f89f</v>
      </c>
      <c r="F136" s="1">
        <v>3.8940000000000006</v>
      </c>
      <c r="G136" s="1">
        <v>0.14300000000000002</v>
      </c>
      <c r="H136" s="1">
        <v>0.56100000000000005</v>
      </c>
      <c r="I136" s="1">
        <v>-2.0789999999999999E-2</v>
      </c>
      <c r="J136" s="1">
        <v>1</v>
      </c>
      <c r="K136" s="1" t="s">
        <v>24</v>
      </c>
      <c r="L136" s="1">
        <v>12.7</v>
      </c>
      <c r="M136" s="1" t="s">
        <v>25</v>
      </c>
      <c r="N136" s="3" t="s">
        <v>133</v>
      </c>
      <c r="O136" s="1"/>
    </row>
    <row r="137" spans="1:15" x14ac:dyDescent="0.25">
      <c r="A137" s="2" t="s">
        <v>207</v>
      </c>
      <c r="B137" s="1" t="s">
        <v>130</v>
      </c>
      <c r="C137" s="1" t="s">
        <v>22</v>
      </c>
      <c r="D137" s="1" t="s">
        <v>208</v>
      </c>
      <c r="E137" s="1" t="str">
        <f>VLOOKUP(Table1[[#This Row],[Navn DK]],product_nodes_new_id!A:C,3,FALSE)</f>
        <v>e4dbd044-05ab-4972-8548-702fe31aaf35</v>
      </c>
      <c r="F137" s="1">
        <v>2.7390000000000003</v>
      </c>
      <c r="G137" s="1">
        <v>7.3590000000000003E-2</v>
      </c>
      <c r="H137" s="1">
        <v>0.98670000000000013</v>
      </c>
      <c r="I137" s="1">
        <v>-0.19170000000000001</v>
      </c>
      <c r="J137" s="1">
        <v>1</v>
      </c>
      <c r="K137" s="1" t="s">
        <v>24</v>
      </c>
      <c r="L137" s="1">
        <v>12.2</v>
      </c>
      <c r="M137" s="1" t="s">
        <v>25</v>
      </c>
      <c r="N137" s="3" t="s">
        <v>133</v>
      </c>
      <c r="O137" s="1"/>
    </row>
    <row r="138" spans="1:15" x14ac:dyDescent="0.25">
      <c r="A138" s="2" t="s">
        <v>197</v>
      </c>
      <c r="B138" s="1" t="s">
        <v>130</v>
      </c>
      <c r="C138" s="1" t="s">
        <v>22</v>
      </c>
      <c r="D138" s="1" t="s">
        <v>198</v>
      </c>
      <c r="E138" s="1" t="str">
        <f>VLOOKUP(Table1[[#This Row],[Navn DK]],product_nodes_new_id!A:C,3,FALSE)</f>
        <v>80203711-cb3a-414d-86e1-9409ae4ff7f9</v>
      </c>
      <c r="F138" s="1">
        <v>1.353</v>
      </c>
      <c r="G138" s="1">
        <v>4.07E-2</v>
      </c>
      <c r="H138" s="1">
        <v>0.5181</v>
      </c>
      <c r="I138" s="1">
        <v>-0.14940000000000001</v>
      </c>
      <c r="J138" s="1">
        <v>1</v>
      </c>
      <c r="K138" s="1" t="s">
        <v>24</v>
      </c>
      <c r="L138" s="1">
        <v>7.9</v>
      </c>
      <c r="M138" s="1" t="s">
        <v>25</v>
      </c>
      <c r="N138" s="3" t="s">
        <v>133</v>
      </c>
      <c r="O138" s="1"/>
    </row>
    <row r="139" spans="1:15" x14ac:dyDescent="0.25">
      <c r="A139" s="2" t="s">
        <v>201</v>
      </c>
      <c r="B139" s="1" t="s">
        <v>130</v>
      </c>
      <c r="C139" s="1" t="s">
        <v>22</v>
      </c>
      <c r="D139" s="1" t="s">
        <v>202</v>
      </c>
      <c r="E139" s="1" t="str">
        <f>VLOOKUP(Table1[[#This Row],[Navn DK]],product_nodes_new_id!A:C,3,FALSE)</f>
        <v>9d833707-478c-470a-af63-18d3c961ddbb</v>
      </c>
      <c r="F139" s="1">
        <v>1.7270000000000003</v>
      </c>
      <c r="G139" s="1">
        <v>0.40700000000000003</v>
      </c>
      <c r="H139" s="1">
        <v>0.36850000000000005</v>
      </c>
      <c r="I139" s="1">
        <v>-6.0300000000000006E-3</v>
      </c>
      <c r="J139" s="1">
        <v>1</v>
      </c>
      <c r="K139" s="1" t="s">
        <v>24</v>
      </c>
      <c r="L139" s="1">
        <v>9.1</v>
      </c>
      <c r="M139" s="1" t="s">
        <v>25</v>
      </c>
      <c r="N139" s="3" t="s">
        <v>133</v>
      </c>
      <c r="O139" s="1"/>
    </row>
    <row r="140" spans="1:15" x14ac:dyDescent="0.25">
      <c r="A140" s="2" t="s">
        <v>195</v>
      </c>
      <c r="B140" s="1" t="s">
        <v>130</v>
      </c>
      <c r="C140" s="1" t="s">
        <v>22</v>
      </c>
      <c r="D140" s="1" t="s">
        <v>196</v>
      </c>
      <c r="E140" s="1" t="str">
        <f>VLOOKUP(Table1[[#This Row],[Navn DK]],product_nodes_new_id!A:C,3,FALSE)</f>
        <v>c14cd02c-7e7c-429e-a2ee-9a1291d38bc7</v>
      </c>
      <c r="F140" s="1">
        <v>1.837</v>
      </c>
      <c r="G140" s="1">
        <v>3.6850000000000008E-2</v>
      </c>
      <c r="H140" s="1">
        <v>0.56100000000000005</v>
      </c>
      <c r="I140" s="1">
        <v>-0.16650000000000001</v>
      </c>
      <c r="J140" s="1">
        <v>1</v>
      </c>
      <c r="K140" s="1" t="s">
        <v>24</v>
      </c>
      <c r="L140" s="1">
        <v>7.5</v>
      </c>
      <c r="M140" s="1" t="s">
        <v>25</v>
      </c>
      <c r="N140" s="3" t="s">
        <v>133</v>
      </c>
      <c r="O140" s="1"/>
    </row>
    <row r="141" spans="1:15" x14ac:dyDescent="0.25">
      <c r="A141" s="2" t="s">
        <v>203</v>
      </c>
      <c r="B141" s="1" t="s">
        <v>130</v>
      </c>
      <c r="C141" s="1" t="s">
        <v>22</v>
      </c>
      <c r="D141" s="1" t="s">
        <v>204</v>
      </c>
      <c r="E141" s="1" t="str">
        <f>VLOOKUP(Table1[[#This Row],[Navn DK]],product_nodes_new_id!A:C,3,FALSE)</f>
        <v>e6ade942-5b0e-49e7-b983-a517575a6300</v>
      </c>
      <c r="F141" s="1">
        <v>3.4980000000000007</v>
      </c>
      <c r="G141" s="1">
        <v>5.4010000000000002E-2</v>
      </c>
      <c r="H141" s="1">
        <v>0.68640000000000001</v>
      </c>
      <c r="I141" s="1">
        <v>-0.20520000000000002</v>
      </c>
      <c r="J141" s="1">
        <v>1</v>
      </c>
      <c r="K141" s="1" t="s">
        <v>24</v>
      </c>
      <c r="L141" s="1">
        <v>10.5</v>
      </c>
      <c r="M141" s="1" t="s">
        <v>25</v>
      </c>
      <c r="N141" s="3" t="s">
        <v>133</v>
      </c>
      <c r="O141" s="1"/>
    </row>
    <row r="142" spans="1:15" x14ac:dyDescent="0.25">
      <c r="A142" s="2" t="s">
        <v>513</v>
      </c>
      <c r="B142" s="1" t="s">
        <v>394</v>
      </c>
      <c r="C142" s="1" t="s">
        <v>514</v>
      </c>
      <c r="D142" s="1" t="s">
        <v>515</v>
      </c>
      <c r="E142" s="1" t="str">
        <f>VLOOKUP(Table1[[#This Row],[Navn DK]],product_nodes_new_id!A:C,3,FALSE)</f>
        <v>5e803e73-8f1c-4974-8302-8616645ba93f</v>
      </c>
      <c r="F142" s="1">
        <v>0.25909606690398801</v>
      </c>
      <c r="G142" s="1">
        <v>0</v>
      </c>
      <c r="H142" s="1">
        <v>1.7601035296446899E-2</v>
      </c>
      <c r="I142" s="1">
        <v>0</v>
      </c>
      <c r="J142" s="1">
        <v>1</v>
      </c>
      <c r="K142" s="1" t="s">
        <v>17</v>
      </c>
      <c r="L142" s="1">
        <v>1</v>
      </c>
      <c r="M142" s="1" t="s">
        <v>18</v>
      </c>
      <c r="N142" s="3" t="s">
        <v>1567</v>
      </c>
      <c r="O142" s="1"/>
    </row>
    <row r="143" spans="1:15" x14ac:dyDescent="0.25">
      <c r="A143" s="2" t="s">
        <v>579</v>
      </c>
      <c r="B143" s="1" t="s">
        <v>394</v>
      </c>
      <c r="C143" s="1" t="s">
        <v>580</v>
      </c>
      <c r="D143" s="1" t="s">
        <v>581</v>
      </c>
      <c r="E143" s="1" t="str">
        <f>VLOOKUP(Table1[[#This Row],[Navn DK]],product_nodes_new_id!A:C,3,FALSE)</f>
        <v>41cfe66b-547e-43af-8248-108d74d243e4</v>
      </c>
      <c r="F143" s="1">
        <v>2.1562188544713401E-3</v>
      </c>
      <c r="G143" s="1">
        <v>0</v>
      </c>
      <c r="H143" s="1">
        <v>1.6092731618195199E-2</v>
      </c>
      <c r="I143" s="1">
        <v>0</v>
      </c>
      <c r="J143" s="1">
        <v>1</v>
      </c>
      <c r="K143" s="1" t="s">
        <v>17</v>
      </c>
      <c r="L143" s="1">
        <v>1</v>
      </c>
      <c r="M143" s="1" t="s">
        <v>18</v>
      </c>
      <c r="N143" s="3" t="s">
        <v>1581</v>
      </c>
      <c r="O143" s="1"/>
    </row>
    <row r="144" spans="1:15" x14ac:dyDescent="0.25">
      <c r="A144" s="2" t="s">
        <v>912</v>
      </c>
      <c r="B144" s="1" t="s">
        <v>394</v>
      </c>
      <c r="C144" s="1" t="s">
        <v>913</v>
      </c>
      <c r="D144" s="1" t="s">
        <v>914</v>
      </c>
      <c r="E144" s="1" t="str">
        <f>VLOOKUP(Table1[[#This Row],[Navn DK]],product_nodes_new_id!A:C,3,FALSE)</f>
        <v>c1584cbd-feef-4163-980e-94fd59931c0b</v>
      </c>
      <c r="F144" s="1">
        <v>13.3460990504978</v>
      </c>
      <c r="G144" s="1">
        <v>0</v>
      </c>
      <c r="H144" s="1">
        <v>0.17601035296446901</v>
      </c>
      <c r="I144" s="1">
        <v>0</v>
      </c>
      <c r="J144" s="1">
        <v>1</v>
      </c>
      <c r="K144" s="1" t="s">
        <v>24</v>
      </c>
      <c r="L144" s="1">
        <v>10</v>
      </c>
      <c r="M144" s="1" t="s">
        <v>25</v>
      </c>
      <c r="N144" s="3" t="s">
        <v>1635</v>
      </c>
      <c r="O144" s="1"/>
    </row>
    <row r="145" spans="1:15" x14ac:dyDescent="0.25">
      <c r="A145" s="2" t="s">
        <v>1112</v>
      </c>
      <c r="B145" s="1" t="s">
        <v>394</v>
      </c>
      <c r="C145" s="1" t="s">
        <v>1113</v>
      </c>
      <c r="D145" s="1" t="s">
        <v>1114</v>
      </c>
      <c r="E145" s="1" t="str">
        <f>VLOOKUP(Table1[[#This Row],[Navn DK]],product_nodes_new_id!A:C,3,FALSE)</f>
        <v>83d22016-3af4-41cc-9041-56e5ad29933c</v>
      </c>
      <c r="F145" s="1">
        <v>3893.0245792948899</v>
      </c>
      <c r="G145" s="1">
        <v>0</v>
      </c>
      <c r="H145" s="1">
        <v>47.773347436746597</v>
      </c>
      <c r="I145" s="1">
        <v>0</v>
      </c>
      <c r="J145" s="1">
        <v>1</v>
      </c>
      <c r="K145" s="1" t="s">
        <v>68</v>
      </c>
      <c r="L145" s="1">
        <v>2500</v>
      </c>
      <c r="M145" s="1" t="s">
        <v>69</v>
      </c>
      <c r="N145" s="3" t="s">
        <v>1662</v>
      </c>
      <c r="O145" s="1"/>
    </row>
    <row r="146" spans="1:15" x14ac:dyDescent="0.25">
      <c r="A146" s="2" t="s">
        <v>830</v>
      </c>
      <c r="B146" s="1" t="s">
        <v>394</v>
      </c>
      <c r="C146" s="1" t="s">
        <v>831</v>
      </c>
      <c r="D146" s="1" t="s">
        <v>832</v>
      </c>
      <c r="E146" s="1" t="str">
        <f>VLOOKUP(Table1[[#This Row],[Navn DK]],product_nodes_new_id!A:C,3,FALSE)</f>
        <v>580ffe20-6822-498f-aa08-ac8386416d82</v>
      </c>
      <c r="F146" s="1">
        <v>0.27416634326282102</v>
      </c>
      <c r="G146" s="1">
        <v>0</v>
      </c>
      <c r="H146" s="1">
        <v>2.11212423557363E-3</v>
      </c>
      <c r="I146" s="1">
        <v>0</v>
      </c>
      <c r="J146" s="1">
        <v>1</v>
      </c>
      <c r="K146" s="1" t="s">
        <v>24</v>
      </c>
      <c r="L146" s="1">
        <v>0.12</v>
      </c>
      <c r="M146" s="1" t="s">
        <v>25</v>
      </c>
      <c r="N146" s="3" t="s">
        <v>1629</v>
      </c>
      <c r="O146" s="1"/>
    </row>
    <row r="147" spans="1:15" x14ac:dyDescent="0.25">
      <c r="A147" s="2" t="s">
        <v>629</v>
      </c>
      <c r="B147" s="1" t="s">
        <v>394</v>
      </c>
      <c r="C147" s="1" t="s">
        <v>630</v>
      </c>
      <c r="D147" s="1" t="s">
        <v>631</v>
      </c>
      <c r="E147" s="1" t="str">
        <f>VLOOKUP(Table1[[#This Row],[Navn DK]],product_nodes_new_id!A:C,3,FALSE)</f>
        <v>a49fc95a-cdc5-4279-b9b6-8ba78a717b14</v>
      </c>
      <c r="F147" s="1">
        <v>3.32287400811909</v>
      </c>
      <c r="G147" s="1">
        <v>1.5959100407197799</v>
      </c>
      <c r="H147" s="1">
        <v>0</v>
      </c>
      <c r="I147" s="1">
        <v>-0.46631274288536501</v>
      </c>
      <c r="J147" s="1">
        <v>1</v>
      </c>
      <c r="K147" s="1" t="s">
        <v>17</v>
      </c>
      <c r="L147" s="1">
        <v>1400</v>
      </c>
      <c r="M147" s="1" t="s">
        <v>69</v>
      </c>
      <c r="N147" s="3" t="s">
        <v>1592</v>
      </c>
      <c r="O147" s="1"/>
    </row>
    <row r="148" spans="1:15" x14ac:dyDescent="0.25">
      <c r="A148" s="2" t="s">
        <v>817</v>
      </c>
      <c r="B148" s="1" t="s">
        <v>394</v>
      </c>
      <c r="C148" s="1" t="s">
        <v>818</v>
      </c>
      <c r="D148" s="1" t="s">
        <v>1696</v>
      </c>
      <c r="E148" s="1" t="str">
        <f>VLOOKUP(Table1[[#This Row],[Navn DK]],product_nodes_new_id!A:C,3,FALSE)</f>
        <v>2d82e635-2fb5-4e37-8223-0b96250a87a8</v>
      </c>
      <c r="F148" s="1">
        <v>181.79</v>
      </c>
      <c r="G148" s="1">
        <v>3.38</v>
      </c>
      <c r="H148" s="1">
        <v>1.21</v>
      </c>
      <c r="I148" s="1">
        <v>-24.8</v>
      </c>
      <c r="J148" s="1">
        <v>1</v>
      </c>
      <c r="K148" s="1" t="s">
        <v>24</v>
      </c>
      <c r="L148" s="1">
        <v>57.8</v>
      </c>
      <c r="M148" s="1" t="s">
        <v>25</v>
      </c>
      <c r="N148" s="3" t="s">
        <v>819</v>
      </c>
      <c r="O148" s="1"/>
    </row>
    <row r="149" spans="1:15" x14ac:dyDescent="0.25">
      <c r="A149" s="2" t="s">
        <v>223</v>
      </c>
      <c r="B149" s="1" t="s">
        <v>130</v>
      </c>
      <c r="C149" s="1" t="s">
        <v>22</v>
      </c>
      <c r="D149" s="1" t="s">
        <v>224</v>
      </c>
      <c r="E149" s="1" t="str">
        <f>VLOOKUP(Table1[[#This Row],[Navn DK]],product_nodes_new_id!A:C,3,FALSE)</f>
        <v>adcb8da1-4a16-4614-8085-4e84d8ac1d74</v>
      </c>
      <c r="F149" s="1">
        <v>69.52000000000001</v>
      </c>
      <c r="G149" s="1">
        <v>5.3239999999999998</v>
      </c>
      <c r="H149" s="1">
        <v>1.9580000000000001E-3</v>
      </c>
      <c r="I149" s="1">
        <v>-34.019999999999996</v>
      </c>
      <c r="J149" s="1">
        <v>1</v>
      </c>
      <c r="K149" s="1" t="s">
        <v>24</v>
      </c>
      <c r="L149" s="1">
        <v>41.7</v>
      </c>
      <c r="M149" s="1" t="s">
        <v>25</v>
      </c>
      <c r="N149" s="3" t="s">
        <v>133</v>
      </c>
      <c r="O149" s="1"/>
    </row>
    <row r="150" spans="1:15" x14ac:dyDescent="0.25">
      <c r="A150" s="2" t="s">
        <v>225</v>
      </c>
      <c r="B150" s="1" t="s">
        <v>130</v>
      </c>
      <c r="C150" s="1" t="s">
        <v>22</v>
      </c>
      <c r="D150" s="1" t="s">
        <v>226</v>
      </c>
      <c r="E150" s="1" t="str">
        <f>VLOOKUP(Table1[[#This Row],[Navn DK]],product_nodes_new_id!A:C,3,FALSE)</f>
        <v>9c914e53-2633-460a-be50-4aed2552a579</v>
      </c>
      <c r="F150" s="1">
        <v>81.840000000000018</v>
      </c>
      <c r="G150" s="1">
        <v>5.016</v>
      </c>
      <c r="H150" s="1">
        <v>2.101E-3</v>
      </c>
      <c r="I150" s="1">
        <v>-40.769999999999996</v>
      </c>
      <c r="J150" s="1">
        <v>1</v>
      </c>
      <c r="K150" s="1" t="s">
        <v>24</v>
      </c>
      <c r="L150" s="1">
        <v>50.9</v>
      </c>
      <c r="M150" s="1" t="s">
        <v>25</v>
      </c>
      <c r="N150" s="3" t="s">
        <v>133</v>
      </c>
      <c r="O150" s="1"/>
    </row>
    <row r="151" spans="1:15" x14ac:dyDescent="0.25">
      <c r="A151" s="2" t="s">
        <v>227</v>
      </c>
      <c r="B151" s="1" t="s">
        <v>130</v>
      </c>
      <c r="C151" s="1" t="s">
        <v>22</v>
      </c>
      <c r="D151" s="1" t="s">
        <v>228</v>
      </c>
      <c r="E151" s="1" t="str">
        <f>VLOOKUP(Table1[[#This Row],[Navn DK]],product_nodes_new_id!A:C,3,FALSE)</f>
        <v>e97b29eb-f998-4159-9623-9e13e56bf3da</v>
      </c>
      <c r="F151" s="1">
        <v>95.7</v>
      </c>
      <c r="G151" s="1">
        <v>2.6840000000000002</v>
      </c>
      <c r="H151" s="1">
        <v>3.0250000000000003E-2</v>
      </c>
      <c r="I151" s="1">
        <v>-48.87</v>
      </c>
      <c r="J151" s="1">
        <v>1</v>
      </c>
      <c r="K151" s="1" t="s">
        <v>24</v>
      </c>
      <c r="L151" s="1">
        <v>59.8</v>
      </c>
      <c r="M151" s="1" t="s">
        <v>25</v>
      </c>
      <c r="N151" s="3" t="s">
        <v>133</v>
      </c>
      <c r="O151" s="1"/>
    </row>
    <row r="152" spans="1:15" x14ac:dyDescent="0.25">
      <c r="A152" s="2" t="s">
        <v>219</v>
      </c>
      <c r="B152" s="1" t="s">
        <v>130</v>
      </c>
      <c r="C152" s="1" t="s">
        <v>22</v>
      </c>
      <c r="D152" s="1" t="s">
        <v>220</v>
      </c>
      <c r="E152" s="1" t="str">
        <f>VLOOKUP(Table1[[#This Row],[Navn DK]],product_nodes_new_id!A:C,3,FALSE)</f>
        <v>026fb9ba-b6f7-4583-8ca5-292f71c5f400</v>
      </c>
      <c r="F152" s="1">
        <v>52.360000000000007</v>
      </c>
      <c r="G152" s="1">
        <v>2.6730000000000005</v>
      </c>
      <c r="H152" s="1">
        <v>1.584E-2</v>
      </c>
      <c r="I152" s="1">
        <v>-26.46</v>
      </c>
      <c r="J152" s="1">
        <v>1</v>
      </c>
      <c r="K152" s="1" t="s">
        <v>24</v>
      </c>
      <c r="L152" s="1">
        <v>30.7</v>
      </c>
      <c r="M152" s="1" t="s">
        <v>25</v>
      </c>
      <c r="N152" s="3" t="s">
        <v>133</v>
      </c>
      <c r="O152" s="1"/>
    </row>
    <row r="153" spans="1:15" x14ac:dyDescent="0.25">
      <c r="A153" s="2" t="s">
        <v>542</v>
      </c>
      <c r="B153" s="1" t="s">
        <v>394</v>
      </c>
      <c r="C153" s="1" t="s">
        <v>543</v>
      </c>
      <c r="D153" s="1" t="s">
        <v>544</v>
      </c>
      <c r="E153" s="1" t="str">
        <f>VLOOKUP(Table1[[#This Row],[Navn DK]],product_nodes_new_id!A:C,3,FALSE)</f>
        <v>07d3ecf9-336c-401b-9208-d677ec98327b</v>
      </c>
      <c r="F153" s="1">
        <v>0.71152116928688203</v>
      </c>
      <c r="G153" s="1">
        <v>0</v>
      </c>
      <c r="H153" s="1">
        <v>1.7601035296446899E-2</v>
      </c>
      <c r="I153" s="1">
        <v>0</v>
      </c>
      <c r="J153" s="1">
        <v>0.999999999999999</v>
      </c>
      <c r="K153" s="1" t="s">
        <v>17</v>
      </c>
      <c r="L153" s="1">
        <v>1550</v>
      </c>
      <c r="M153" s="1" t="s">
        <v>69</v>
      </c>
      <c r="N153" s="3" t="s">
        <v>545</v>
      </c>
      <c r="O153" s="1"/>
    </row>
    <row r="154" spans="1:15" x14ac:dyDescent="0.25">
      <c r="A154" s="2" t="s">
        <v>651</v>
      </c>
      <c r="B154" s="1" t="s">
        <v>394</v>
      </c>
      <c r="C154" s="1" t="s">
        <v>652</v>
      </c>
      <c r="D154" s="1" t="s">
        <v>653</v>
      </c>
      <c r="E154" s="1" t="str">
        <f>VLOOKUP(Table1[[#This Row],[Navn DK]],product_nodes_new_id!A:C,3,FALSE)</f>
        <v>7de7533d-2372-4f68-8fb5-e4e2899c402f</v>
      </c>
      <c r="F154" s="1">
        <v>0.58689950324471996</v>
      </c>
      <c r="G154" s="1">
        <v>0</v>
      </c>
      <c r="H154" s="1">
        <v>1.7601035296446899E-2</v>
      </c>
      <c r="I154" s="1">
        <v>0</v>
      </c>
      <c r="J154" s="1">
        <v>1</v>
      </c>
      <c r="K154" s="1" t="s">
        <v>17</v>
      </c>
      <c r="L154" s="1">
        <v>1</v>
      </c>
      <c r="M154" s="1" t="s">
        <v>18</v>
      </c>
      <c r="N154" s="3" t="s">
        <v>1580</v>
      </c>
      <c r="O154" s="1"/>
    </row>
    <row r="155" spans="1:15" x14ac:dyDescent="0.25">
      <c r="A155" s="2" t="s">
        <v>422</v>
      </c>
      <c r="B155" s="1" t="s">
        <v>394</v>
      </c>
      <c r="C155" s="1" t="s">
        <v>423</v>
      </c>
      <c r="D155" s="1" t="s">
        <v>424</v>
      </c>
      <c r="E155" s="1" t="str">
        <f>VLOOKUP(Table1[[#This Row],[Navn DK]],product_nodes_new_id!A:C,3,FALSE)</f>
        <v>e18a18e9-a2c5-4472-9d23-85a83ac7fd8d</v>
      </c>
      <c r="F155" s="1">
        <v>2.73184277721275E-2</v>
      </c>
      <c r="G155" s="1">
        <v>6.7659246166958103E-3</v>
      </c>
      <c r="H155" s="1">
        <v>0</v>
      </c>
      <c r="I155" s="1">
        <v>-1.5746196289599199E-3</v>
      </c>
      <c r="J155" s="1">
        <v>1</v>
      </c>
      <c r="K155" s="1" t="s">
        <v>17</v>
      </c>
      <c r="L155" s="1">
        <v>1400</v>
      </c>
      <c r="M155" s="1" t="s">
        <v>69</v>
      </c>
      <c r="N155" s="3" t="s">
        <v>1546</v>
      </c>
      <c r="O155" s="1"/>
    </row>
    <row r="156" spans="1:15" x14ac:dyDescent="0.25">
      <c r="A156" s="2" t="s">
        <v>699</v>
      </c>
      <c r="B156" s="1" t="s">
        <v>394</v>
      </c>
      <c r="C156" s="1" t="s">
        <v>419</v>
      </c>
      <c r="D156" s="1" t="s">
        <v>700</v>
      </c>
      <c r="E156" s="1" t="str">
        <f>VLOOKUP(Table1[[#This Row],[Navn DK]],product_nodes_new_id!A:C,3,FALSE)</f>
        <v>bb48ea57-9b5f-4c7d-aace-d3120ac7e54a</v>
      </c>
      <c r="F156" s="1">
        <v>3.2837115249705603E-2</v>
      </c>
      <c r="G156" s="1">
        <v>7.3919647003698402E-3</v>
      </c>
      <c r="H156" s="1">
        <v>0</v>
      </c>
      <c r="I156" s="1">
        <v>-1.44323090284462E-3</v>
      </c>
      <c r="J156" s="1">
        <v>1</v>
      </c>
      <c r="K156" s="1" t="s">
        <v>17</v>
      </c>
      <c r="L156" s="1">
        <v>1850</v>
      </c>
      <c r="M156" s="1" t="s">
        <v>69</v>
      </c>
      <c r="N156" s="3" t="s">
        <v>421</v>
      </c>
      <c r="O156" s="1"/>
    </row>
    <row r="157" spans="1:15" x14ac:dyDescent="0.25">
      <c r="A157" s="2" t="s">
        <v>418</v>
      </c>
      <c r="B157" s="1" t="s">
        <v>394</v>
      </c>
      <c r="C157" s="1" t="s">
        <v>419</v>
      </c>
      <c r="D157" s="1" t="s">
        <v>420</v>
      </c>
      <c r="E157" s="1" t="str">
        <f>VLOOKUP(Table1[[#This Row],[Navn DK]],product_nodes_new_id!A:C,3,FALSE)</f>
        <v>15ef2681-b9e8-4fd3-9441-9096e2763b84</v>
      </c>
      <c r="F157" s="1">
        <v>3.2837115249705603E-2</v>
      </c>
      <c r="G157" s="1">
        <v>7.3919647003698402E-3</v>
      </c>
      <c r="H157" s="1">
        <v>0</v>
      </c>
      <c r="I157" s="1">
        <v>-1.44323090284462E-3</v>
      </c>
      <c r="J157" s="1">
        <v>1</v>
      </c>
      <c r="K157" s="1" t="s">
        <v>17</v>
      </c>
      <c r="L157" s="1">
        <v>1850</v>
      </c>
      <c r="M157" s="1" t="s">
        <v>69</v>
      </c>
      <c r="N157" s="3" t="s">
        <v>421</v>
      </c>
      <c r="O157" s="1"/>
    </row>
    <row r="158" spans="1:15" x14ac:dyDescent="0.25">
      <c r="A158" s="2" t="s">
        <v>669</v>
      </c>
      <c r="B158" s="1" t="s">
        <v>394</v>
      </c>
      <c r="C158" s="1" t="s">
        <v>670</v>
      </c>
      <c r="D158" s="1" t="s">
        <v>671</v>
      </c>
      <c r="E158" s="1" t="str">
        <f>VLOOKUP(Table1[[#This Row],[Navn DK]],product_nodes_new_id!A:C,3,FALSE)</f>
        <v>72a9556c-d738-443d-a027-5bc04a1de35d</v>
      </c>
      <c r="F158" s="1">
        <v>2.73184277721275E-2</v>
      </c>
      <c r="G158" s="1">
        <v>6.7659246166958103E-3</v>
      </c>
      <c r="H158" s="1">
        <v>0</v>
      </c>
      <c r="I158" s="1">
        <v>-1.5746196289599199E-3</v>
      </c>
      <c r="J158" s="1">
        <v>1</v>
      </c>
      <c r="K158" s="1" t="s">
        <v>17</v>
      </c>
      <c r="L158" s="1">
        <v>1</v>
      </c>
      <c r="M158" s="1" t="s">
        <v>18</v>
      </c>
      <c r="N158" s="3" t="s">
        <v>1601</v>
      </c>
      <c r="O158" s="1"/>
    </row>
    <row r="159" spans="1:15" x14ac:dyDescent="0.25">
      <c r="A159" s="2" t="s">
        <v>425</v>
      </c>
      <c r="B159" s="1" t="s">
        <v>394</v>
      </c>
      <c r="C159" s="1" t="s">
        <v>426</v>
      </c>
      <c r="D159" s="1" t="s">
        <v>427</v>
      </c>
      <c r="E159" s="1" t="str">
        <f>VLOOKUP(Table1[[#This Row],[Navn DK]],product_nodes_new_id!A:C,3,FALSE)</f>
        <v>db43b67a-e13e-46e1-9260-7c1af0c5804a</v>
      </c>
      <c r="F159" s="1">
        <v>1.53569520186568</v>
      </c>
      <c r="G159" s="1">
        <v>0</v>
      </c>
      <c r="H159" s="1">
        <v>0</v>
      </c>
      <c r="I159" s="1">
        <v>0.120389133764673</v>
      </c>
      <c r="J159" s="1">
        <v>1</v>
      </c>
      <c r="K159" s="1" t="s">
        <v>17</v>
      </c>
      <c r="L159" s="1">
        <v>1</v>
      </c>
      <c r="M159" s="1" t="s">
        <v>18</v>
      </c>
      <c r="N159" s="3" t="s">
        <v>1547</v>
      </c>
      <c r="O159" s="1"/>
    </row>
    <row r="160" spans="1:15" x14ac:dyDescent="0.25">
      <c r="A160" s="2" t="s">
        <v>908</v>
      </c>
      <c r="B160" s="1" t="s">
        <v>394</v>
      </c>
      <c r="C160" s="1" t="s">
        <v>909</v>
      </c>
      <c r="D160" s="1" t="s">
        <v>910</v>
      </c>
      <c r="E160" s="1" t="str">
        <f>VLOOKUP(Table1[[#This Row],[Navn DK]],product_nodes_new_id!A:C,3,FALSE)</f>
        <v>cc0b9bb3-9f13-4f5f-ab06-287aaa61ac68</v>
      </c>
      <c r="F160" s="1">
        <v>5.9662952261162596</v>
      </c>
      <c r="G160" s="1">
        <v>6.6745787599555104</v>
      </c>
      <c r="H160" s="1">
        <v>3.3441967063249098E-3</v>
      </c>
      <c r="I160" s="1">
        <v>-2.1318502389937799</v>
      </c>
      <c r="J160" s="1">
        <v>1</v>
      </c>
      <c r="K160" s="1" t="s">
        <v>24</v>
      </c>
      <c r="L160" s="1">
        <v>1.9</v>
      </c>
      <c r="M160" s="1" t="s">
        <v>25</v>
      </c>
      <c r="N160" s="3" t="s">
        <v>911</v>
      </c>
      <c r="O160" s="1"/>
    </row>
    <row r="161" spans="1:15" x14ac:dyDescent="0.25">
      <c r="A161" s="2" t="s">
        <v>1011</v>
      </c>
      <c r="B161" s="1" t="s">
        <v>394</v>
      </c>
      <c r="C161" s="1" t="s">
        <v>1012</v>
      </c>
      <c r="D161" s="1" t="s">
        <v>1013</v>
      </c>
      <c r="E161" s="1" t="str">
        <f>VLOOKUP(Table1[[#This Row],[Navn DK]],product_nodes_new_id!A:C,3,FALSE)</f>
        <v>fac06a6c-6ff9-4e96-92ba-436a36270042</v>
      </c>
      <c r="F161" s="1">
        <v>21.731037209655099</v>
      </c>
      <c r="G161" s="1">
        <v>3.16164257050524</v>
      </c>
      <c r="H161" s="1">
        <v>1.0032590118974701E-2</v>
      </c>
      <c r="I161" s="1">
        <v>-5.0562312763584103</v>
      </c>
      <c r="J161" s="1">
        <v>1</v>
      </c>
      <c r="K161" s="1" t="s">
        <v>24</v>
      </c>
      <c r="L161" s="1">
        <v>5.7</v>
      </c>
      <c r="M161" s="1" t="s">
        <v>25</v>
      </c>
      <c r="N161" s="3" t="s">
        <v>1014</v>
      </c>
      <c r="O161" s="1"/>
    </row>
    <row r="162" spans="1:15" x14ac:dyDescent="0.25">
      <c r="A162" s="2" t="s">
        <v>989</v>
      </c>
      <c r="B162" s="1" t="s">
        <v>394</v>
      </c>
      <c r="C162" s="1" t="s">
        <v>990</v>
      </c>
      <c r="D162" s="1" t="s">
        <v>991</v>
      </c>
      <c r="E162" s="1" t="str">
        <f>VLOOKUP(Table1[[#This Row],[Navn DK]],product_nodes_new_id!A:C,3,FALSE)</f>
        <v>b1968514-716e-4866-9956-74cce985fd10</v>
      </c>
      <c r="F162" s="1">
        <v>12.6474949941588</v>
      </c>
      <c r="G162" s="1">
        <v>3.16164257050524</v>
      </c>
      <c r="H162" s="1">
        <v>5.8083416478274799E-3</v>
      </c>
      <c r="I162" s="1">
        <v>-3.0330275368882602</v>
      </c>
      <c r="J162" s="1">
        <v>1</v>
      </c>
      <c r="K162" s="1" t="s">
        <v>24</v>
      </c>
      <c r="L162" s="1">
        <v>3.3</v>
      </c>
      <c r="M162" s="1" t="s">
        <v>25</v>
      </c>
      <c r="N162" s="3" t="s">
        <v>992</v>
      </c>
      <c r="O162" s="1"/>
    </row>
    <row r="163" spans="1:15" x14ac:dyDescent="0.25">
      <c r="A163" s="2" t="s">
        <v>892</v>
      </c>
      <c r="B163" s="1" t="s">
        <v>394</v>
      </c>
      <c r="C163" s="1" t="s">
        <v>893</v>
      </c>
      <c r="D163" s="1" t="s">
        <v>894</v>
      </c>
      <c r="E163" s="1" t="str">
        <f>VLOOKUP(Table1[[#This Row],[Navn DK]],product_nodes_new_id!A:C,3,FALSE)</f>
        <v>1d560178-7746-46d2-bd13-4fe2cab47295</v>
      </c>
      <c r="F163" s="1">
        <v>4.8485360188164002</v>
      </c>
      <c r="G163" s="1">
        <v>4.9181106652303797</v>
      </c>
      <c r="H163" s="1">
        <v>2.4641449415025701E-3</v>
      </c>
      <c r="I163" s="1">
        <v>-1.5708370182059399</v>
      </c>
      <c r="J163" s="1">
        <v>1</v>
      </c>
      <c r="K163" s="1" t="s">
        <v>24</v>
      </c>
      <c r="L163" s="1">
        <v>1.4</v>
      </c>
      <c r="M163" s="1" t="s">
        <v>25</v>
      </c>
      <c r="N163" s="3" t="s">
        <v>895</v>
      </c>
      <c r="O163" s="1"/>
    </row>
    <row r="164" spans="1:15" x14ac:dyDescent="0.25">
      <c r="A164" s="2" t="s">
        <v>904</v>
      </c>
      <c r="B164" s="1" t="s">
        <v>394</v>
      </c>
      <c r="C164" s="1" t="s">
        <v>905</v>
      </c>
      <c r="D164" s="1" t="s">
        <v>906</v>
      </c>
      <c r="E164" s="1" t="str">
        <f>VLOOKUP(Table1[[#This Row],[Navn DK]],product_nodes_new_id!A:C,3,FALSE)</f>
        <v>d19e7e83-6b67-4c17-bec9-f60d9f4ff35a</v>
      </c>
      <c r="F164" s="1">
        <v>6.13311925897034</v>
      </c>
      <c r="G164" s="1">
        <v>6.6745787599555104</v>
      </c>
      <c r="H164" s="1">
        <v>3.3441967063249098E-3</v>
      </c>
      <c r="I164" s="1">
        <v>-2.1318502389937799</v>
      </c>
      <c r="J164" s="1">
        <v>1</v>
      </c>
      <c r="K164" s="1" t="s">
        <v>24</v>
      </c>
      <c r="L164" s="1">
        <v>1.9</v>
      </c>
      <c r="M164" s="1" t="s">
        <v>25</v>
      </c>
      <c r="N164" s="3" t="s">
        <v>907</v>
      </c>
      <c r="O164" s="1"/>
    </row>
    <row r="165" spans="1:15" x14ac:dyDescent="0.25">
      <c r="A165" s="2" t="s">
        <v>896</v>
      </c>
      <c r="B165" s="1" t="s">
        <v>394</v>
      </c>
      <c r="C165" s="1" t="s">
        <v>897</v>
      </c>
      <c r="D165" s="1" t="s">
        <v>898</v>
      </c>
      <c r="E165" s="1" t="str">
        <f>VLOOKUP(Table1[[#This Row],[Navn DK]],product_nodes_new_id!A:C,3,FALSE)</f>
        <v>4b2eaa09-07b0-49ba-82e3-e49280ea6ccb</v>
      </c>
      <c r="F165" s="1">
        <v>4.76512400238936</v>
      </c>
      <c r="G165" s="1">
        <v>4.9181106652303797</v>
      </c>
      <c r="H165" s="1">
        <v>2.4641449415025701E-3</v>
      </c>
      <c r="I165" s="1">
        <v>-1.5708370182059399</v>
      </c>
      <c r="J165" s="1">
        <v>1</v>
      </c>
      <c r="K165" s="1" t="s">
        <v>24</v>
      </c>
      <c r="L165" s="1">
        <v>1.4</v>
      </c>
      <c r="M165" s="1" t="s">
        <v>25</v>
      </c>
      <c r="N165" s="3" t="s">
        <v>899</v>
      </c>
      <c r="O165" s="1"/>
    </row>
    <row r="166" spans="1:15" x14ac:dyDescent="0.25">
      <c r="A166" s="2" t="s">
        <v>993</v>
      </c>
      <c r="B166" s="1" t="s">
        <v>394</v>
      </c>
      <c r="C166" s="1" t="s">
        <v>994</v>
      </c>
      <c r="D166" s="1" t="s">
        <v>995</v>
      </c>
      <c r="E166" s="1" t="str">
        <f>VLOOKUP(Table1[[#This Row],[Navn DK]],product_nodes_new_id!A:C,3,FALSE)</f>
        <v>fc15dd5b-80b9-49bb-8621-d2d612041eaf</v>
      </c>
      <c r="F166" s="1">
        <v>11.5316838697784</v>
      </c>
      <c r="G166" s="1">
        <v>10.983617137024099</v>
      </c>
      <c r="H166" s="1">
        <v>0</v>
      </c>
      <c r="I166" s="1">
        <v>-5.4162359429590099</v>
      </c>
      <c r="J166" s="1">
        <v>1</v>
      </c>
      <c r="K166" s="1" t="s">
        <v>24</v>
      </c>
      <c r="L166" s="1">
        <v>3.82</v>
      </c>
      <c r="M166" s="1" t="s">
        <v>25</v>
      </c>
      <c r="N166" s="3" t="s">
        <v>1646</v>
      </c>
      <c r="O166" s="1"/>
    </row>
    <row r="167" spans="1:15" x14ac:dyDescent="0.25">
      <c r="A167" s="2" t="s">
        <v>1003</v>
      </c>
      <c r="B167" s="1" t="s">
        <v>394</v>
      </c>
      <c r="C167" s="1" t="s">
        <v>1004</v>
      </c>
      <c r="D167" s="1" t="s">
        <v>1005</v>
      </c>
      <c r="E167" s="1" t="str">
        <f>VLOOKUP(Table1[[#This Row],[Navn DK]],product_nodes_new_id!A:C,3,FALSE)</f>
        <v>52b78c42-00cb-4c1a-a120-4642ac73655a</v>
      </c>
      <c r="F167" s="1">
        <v>12.7677587902479</v>
      </c>
      <c r="G167" s="1">
        <v>13.858909581271201</v>
      </c>
      <c r="H167" s="1">
        <v>0</v>
      </c>
      <c r="I167" s="1">
        <v>-6.8340987552519499</v>
      </c>
      <c r="J167" s="1">
        <v>1</v>
      </c>
      <c r="K167" s="1" t="s">
        <v>24</v>
      </c>
      <c r="L167" s="1">
        <v>4.82</v>
      </c>
      <c r="M167" s="1" t="s">
        <v>25</v>
      </c>
      <c r="N167" s="3" t="s">
        <v>1006</v>
      </c>
      <c r="O167" s="1"/>
    </row>
    <row r="168" spans="1:15" x14ac:dyDescent="0.25">
      <c r="A168" s="2" t="s">
        <v>663</v>
      </c>
      <c r="B168" s="1" t="s">
        <v>394</v>
      </c>
      <c r="C168" s="1" t="s">
        <v>664</v>
      </c>
      <c r="D168" s="1" t="s">
        <v>665</v>
      </c>
      <c r="E168" s="1" t="str">
        <f>VLOOKUP(Table1[[#This Row],[Navn DK]],product_nodes_new_id!A:C,3,FALSE)</f>
        <v>659d3934-bea4-4f44-96ce-5238acb97c48</v>
      </c>
      <c r="F168" s="1">
        <v>3.64710793989441</v>
      </c>
      <c r="G168" s="1">
        <v>3.03935040778808</v>
      </c>
      <c r="H168" s="1">
        <v>0</v>
      </c>
      <c r="I168" s="1">
        <v>-0.88821474835307601</v>
      </c>
      <c r="J168" s="1">
        <v>1</v>
      </c>
      <c r="K168" s="1" t="s">
        <v>17</v>
      </c>
      <c r="L168" s="1">
        <v>1</v>
      </c>
      <c r="M168" s="1" t="s">
        <v>18</v>
      </c>
      <c r="N168" s="3" t="s">
        <v>1599</v>
      </c>
      <c r="O168" s="1"/>
    </row>
    <row r="169" spans="1:15" x14ac:dyDescent="0.25">
      <c r="A169" s="2" t="s">
        <v>1129</v>
      </c>
      <c r="B169" s="1" t="s">
        <v>394</v>
      </c>
      <c r="C169" s="1" t="s">
        <v>1130</v>
      </c>
      <c r="D169" s="1" t="s">
        <v>1131</v>
      </c>
      <c r="E169" s="1" t="str">
        <f>VLOOKUP(Table1[[#This Row],[Navn DK]],product_nodes_new_id!A:C,3,FALSE)</f>
        <v>7fd68ed0-7d6e-4042-b18a-e82c14cc4974</v>
      </c>
      <c r="F169" s="1">
        <v>14.1699760966687</v>
      </c>
      <c r="G169" s="1">
        <v>82.193094492591101</v>
      </c>
      <c r="H169" s="1">
        <v>0</v>
      </c>
      <c r="I169" s="1">
        <v>-17.8765435852617</v>
      </c>
      <c r="J169" s="1">
        <v>1</v>
      </c>
      <c r="K169" s="1" t="s">
        <v>68</v>
      </c>
      <c r="L169" s="1">
        <v>38</v>
      </c>
      <c r="M169" s="1" t="s">
        <v>69</v>
      </c>
      <c r="N169" s="3" t="s">
        <v>1665</v>
      </c>
      <c r="O169" s="1"/>
    </row>
    <row r="170" spans="1:15" x14ac:dyDescent="0.25">
      <c r="A170" s="2" t="s">
        <v>1082</v>
      </c>
      <c r="B170" s="1" t="s">
        <v>394</v>
      </c>
      <c r="C170" s="1" t="s">
        <v>1083</v>
      </c>
      <c r="D170" s="1" t="s">
        <v>1084</v>
      </c>
      <c r="E170" s="1" t="str">
        <f>VLOOKUP(Table1[[#This Row],[Navn DK]],product_nodes_new_id!A:C,3,FALSE)</f>
        <v>1ab8b1c5-03ab-4c04-953e-d66f7c33df06</v>
      </c>
      <c r="F170" s="1">
        <v>-239.96885367168801</v>
      </c>
      <c r="G170" s="1">
        <v>2332.5990907320702</v>
      </c>
      <c r="H170" s="1">
        <v>0</v>
      </c>
      <c r="I170" s="1">
        <v>-544.189755021309</v>
      </c>
      <c r="J170" s="1">
        <v>1</v>
      </c>
      <c r="K170" s="1" t="s">
        <v>68</v>
      </c>
      <c r="L170" s="1">
        <v>1400</v>
      </c>
      <c r="M170" s="1" t="s">
        <v>69</v>
      </c>
      <c r="N170" s="3" t="s">
        <v>1656</v>
      </c>
      <c r="O170" s="1"/>
    </row>
    <row r="171" spans="1:15" x14ac:dyDescent="0.25">
      <c r="A171" s="2" t="s">
        <v>48</v>
      </c>
      <c r="B171" s="1" t="s">
        <v>14</v>
      </c>
      <c r="C171" s="1" t="s">
        <v>22</v>
      </c>
      <c r="D171" s="1" t="s">
        <v>49</v>
      </c>
      <c r="E171" s="1" t="str">
        <f>VLOOKUP(Table1[[#This Row],[Navn DK]],product_nodes_new_id!A:C,3,FALSE)</f>
        <v>626de427-8d20-43e2-bc1d-5ed66b7f1d8c</v>
      </c>
      <c r="F171" s="1">
        <v>49.8</v>
      </c>
      <c r="G171" s="1">
        <v>1.04</v>
      </c>
      <c r="H171" s="1">
        <v>0.76</v>
      </c>
      <c r="I171" s="19">
        <v>-0.70499999999999996</v>
      </c>
      <c r="J171" s="1">
        <v>1</v>
      </c>
      <c r="K171" s="1" t="s">
        <v>24</v>
      </c>
      <c r="L171" s="1">
        <v>344.6</v>
      </c>
      <c r="M171" s="1" t="s">
        <v>25</v>
      </c>
      <c r="N171" s="3" t="s">
        <v>50</v>
      </c>
      <c r="O171" s="1"/>
    </row>
    <row r="172" spans="1:15" x14ac:dyDescent="0.25">
      <c r="A172" s="2" t="s">
        <v>57</v>
      </c>
      <c r="B172" s="1" t="s">
        <v>14</v>
      </c>
      <c r="C172" s="1" t="s">
        <v>22</v>
      </c>
      <c r="D172" s="1" t="s">
        <v>58</v>
      </c>
      <c r="E172" s="1" t="str">
        <f>VLOOKUP(Table1[[#This Row],[Navn DK]],product_nodes_new_id!A:C,3,FALSE)</f>
        <v>59ccf733-8872-4741-b356-84f4995834d7</v>
      </c>
      <c r="F172" s="17">
        <v>67.900000000000006</v>
      </c>
      <c r="G172" s="1">
        <v>1.37</v>
      </c>
      <c r="H172" s="18">
        <v>1</v>
      </c>
      <c r="I172" s="1">
        <v>-0.92500000000000004</v>
      </c>
      <c r="J172" s="1">
        <v>1</v>
      </c>
      <c r="K172" s="1" t="s">
        <v>24</v>
      </c>
      <c r="L172" s="1">
        <v>451.4</v>
      </c>
      <c r="M172" s="1" t="s">
        <v>25</v>
      </c>
      <c r="N172" s="3" t="s">
        <v>50</v>
      </c>
      <c r="O172" s="1"/>
    </row>
    <row r="173" spans="1:15" x14ac:dyDescent="0.25">
      <c r="A173" s="2" t="s">
        <v>59</v>
      </c>
      <c r="B173" s="1" t="s">
        <v>14</v>
      </c>
      <c r="C173" s="1" t="s">
        <v>22</v>
      </c>
      <c r="D173" s="1" t="s">
        <v>60</v>
      </c>
      <c r="E173" s="1" t="str">
        <f>VLOOKUP(Table1[[#This Row],[Navn DK]],product_nodes_new_id!A:C,3,FALSE)</f>
        <v>03c8677e-d3e2-4567-9243-0af4d0c441d2</v>
      </c>
      <c r="F173" s="1">
        <v>66.400000000000006</v>
      </c>
      <c r="G173" s="1">
        <v>1.4</v>
      </c>
      <c r="H173" s="1">
        <v>1.03</v>
      </c>
      <c r="I173" s="19">
        <v>-0.95299999999999996</v>
      </c>
      <c r="J173" s="1">
        <v>1</v>
      </c>
      <c r="K173" s="1" t="s">
        <v>24</v>
      </c>
      <c r="L173" s="1">
        <v>459.6</v>
      </c>
      <c r="M173" s="1" t="s">
        <v>25</v>
      </c>
      <c r="N173" s="3" t="s">
        <v>50</v>
      </c>
      <c r="O173" s="1"/>
    </row>
    <row r="174" spans="1:15" x14ac:dyDescent="0.25">
      <c r="A174" s="2" t="s">
        <v>1126</v>
      </c>
      <c r="B174" s="1" t="s">
        <v>394</v>
      </c>
      <c r="C174" s="1" t="s">
        <v>1127</v>
      </c>
      <c r="D174" s="1" t="s">
        <v>1128</v>
      </c>
      <c r="E174" s="1" t="str">
        <f>VLOOKUP(Table1[[#This Row],[Navn DK]],product_nodes_new_id!A:C,3,FALSE)</f>
        <v>0e29ce53-74fd-4dd9-8a1f-d5686a75ed47</v>
      </c>
      <c r="F174" s="1">
        <v>33.821863366760603</v>
      </c>
      <c r="G174" s="1">
        <v>82.193094492591101</v>
      </c>
      <c r="H174" s="1">
        <v>0</v>
      </c>
      <c r="I174" s="1">
        <v>-17.8765435852617</v>
      </c>
      <c r="J174" s="1">
        <v>1</v>
      </c>
      <c r="K174" s="1" t="s">
        <v>68</v>
      </c>
      <c r="L174" s="1">
        <v>38</v>
      </c>
      <c r="M174" s="1" t="s">
        <v>69</v>
      </c>
      <c r="N174" s="3" t="s">
        <v>1664</v>
      </c>
      <c r="O174" s="1"/>
    </row>
    <row r="175" spans="1:15" x14ac:dyDescent="0.25">
      <c r="A175" s="2" t="s">
        <v>283</v>
      </c>
      <c r="B175" s="1" t="s">
        <v>130</v>
      </c>
      <c r="C175" s="1" t="s">
        <v>22</v>
      </c>
      <c r="D175" s="1" t="s">
        <v>284</v>
      </c>
      <c r="E175" s="1" t="str">
        <f>VLOOKUP(Table1[[#This Row],[Navn DK]],product_nodes_new_id!A:C,3,FALSE)</f>
        <v>209b49d2-79c5-46c0-888e-a7841731d9d9</v>
      </c>
      <c r="F175" s="1">
        <v>-1.8261619433198377</v>
      </c>
      <c r="G175" s="1">
        <v>3.9056680161943316</v>
      </c>
      <c r="H175" s="1">
        <v>0.15765182186234816</v>
      </c>
      <c r="I175" s="1">
        <v>-0.60485829959514159</v>
      </c>
      <c r="J175" s="1">
        <v>1</v>
      </c>
      <c r="K175" s="1" t="s">
        <v>248</v>
      </c>
      <c r="L175" s="1">
        <v>40</v>
      </c>
      <c r="M175" s="1" t="s">
        <v>69</v>
      </c>
      <c r="N175" s="3" t="s">
        <v>133</v>
      </c>
      <c r="O175" s="1"/>
    </row>
    <row r="176" spans="1:15" x14ac:dyDescent="0.25">
      <c r="A176" s="2" t="s">
        <v>276</v>
      </c>
      <c r="B176" s="1" t="s">
        <v>130</v>
      </c>
      <c r="C176" s="1" t="s">
        <v>22</v>
      </c>
      <c r="D176" s="1" t="s">
        <v>277</v>
      </c>
      <c r="E176" s="1" t="str">
        <f>VLOOKUP(Table1[[#This Row],[Navn DK]],product_nodes_new_id!A:C,3,FALSE)</f>
        <v>8713a98f-f555-4e78-adbe-2dca688939ba</v>
      </c>
      <c r="F176" s="1">
        <v>-0.81918000000000013</v>
      </c>
      <c r="G176" s="1">
        <v>3.1930800000000001</v>
      </c>
      <c r="H176" s="1">
        <v>7.6670000000000016E-2</v>
      </c>
      <c r="I176" s="1">
        <v>0.9483299999999999</v>
      </c>
      <c r="J176" s="1">
        <v>1</v>
      </c>
      <c r="K176" s="1" t="s">
        <v>248</v>
      </c>
      <c r="L176" s="1">
        <v>35</v>
      </c>
      <c r="M176" s="1" t="s">
        <v>69</v>
      </c>
      <c r="N176" s="3" t="s">
        <v>133</v>
      </c>
      <c r="O176" s="1"/>
    </row>
    <row r="177" spans="1:15" x14ac:dyDescent="0.25">
      <c r="A177" s="2" t="s">
        <v>311</v>
      </c>
      <c r="B177" s="1" t="s">
        <v>130</v>
      </c>
      <c r="C177" s="1" t="s">
        <v>22</v>
      </c>
      <c r="D177" s="1" t="s">
        <v>312</v>
      </c>
      <c r="E177" s="1" t="str">
        <f>VLOOKUP(Table1[[#This Row],[Navn DK]],product_nodes_new_id!A:C,3,FALSE)</f>
        <v>dbb047cb-c356-432f-9ea4-5ff1798f9d4d</v>
      </c>
      <c r="F177" s="1">
        <v>-7.1280000000000001</v>
      </c>
      <c r="G177" s="1">
        <v>11.393635495122126</v>
      </c>
      <c r="H177" s="1">
        <v>0</v>
      </c>
      <c r="I177" s="1">
        <v>-3.1955282221387069</v>
      </c>
      <c r="J177" s="1">
        <v>1</v>
      </c>
      <c r="K177" s="1" t="s">
        <v>248</v>
      </c>
      <c r="L177" s="1">
        <v>115</v>
      </c>
      <c r="M177" s="1" t="s">
        <v>69</v>
      </c>
      <c r="N177" s="3" t="s">
        <v>133</v>
      </c>
      <c r="O177" s="1"/>
    </row>
    <row r="178" spans="1:15" x14ac:dyDescent="0.25">
      <c r="A178" s="2" t="s">
        <v>1109</v>
      </c>
      <c r="B178" s="1" t="s">
        <v>394</v>
      </c>
      <c r="C178" s="1" t="s">
        <v>1110</v>
      </c>
      <c r="D178" s="1" t="s">
        <v>1111</v>
      </c>
      <c r="E178" s="1" t="str">
        <f>VLOOKUP(Table1[[#This Row],[Navn DK]],product_nodes_new_id!A:C,3,FALSE)</f>
        <v>9d364e9c-c1ae-470c-bfe4-5f9eeb978ea8</v>
      </c>
      <c r="F178" s="1">
        <v>564.89547439491901</v>
      </c>
      <c r="G178" s="1">
        <v>5.9331920575832102</v>
      </c>
      <c r="H178" s="1">
        <v>0</v>
      </c>
      <c r="I178" s="1">
        <v>-0.32472695314003802</v>
      </c>
      <c r="J178" s="1">
        <v>1</v>
      </c>
      <c r="K178" s="1" t="s">
        <v>68</v>
      </c>
      <c r="L178" s="1">
        <v>225</v>
      </c>
      <c r="M178" s="1" t="s">
        <v>69</v>
      </c>
      <c r="N178" s="3" t="s">
        <v>1661</v>
      </c>
      <c r="O178" s="1"/>
    </row>
    <row r="179" spans="1:15" x14ac:dyDescent="0.25">
      <c r="A179" s="2" t="s">
        <v>546</v>
      </c>
      <c r="B179" s="1" t="s">
        <v>394</v>
      </c>
      <c r="C179" s="1" t="s">
        <v>547</v>
      </c>
      <c r="D179" s="1" t="s">
        <v>548</v>
      </c>
      <c r="E179" s="1" t="str">
        <f>VLOOKUP(Table1[[#This Row],[Navn DK]],product_nodes_new_id!A:C,3,FALSE)</f>
        <v>3e3e5520-314d-45a1-a7bf-6e26be037a6e</v>
      </c>
      <c r="F179" s="1">
        <v>0.10594139123455799</v>
      </c>
      <c r="G179" s="1">
        <v>0</v>
      </c>
      <c r="H179" s="1">
        <v>1.6092731618195199E-2</v>
      </c>
      <c r="I179" s="1">
        <v>0</v>
      </c>
      <c r="J179" s="1">
        <v>1</v>
      </c>
      <c r="K179" s="1" t="s">
        <v>17</v>
      </c>
      <c r="L179" s="1">
        <v>1500</v>
      </c>
      <c r="M179" s="1" t="s">
        <v>69</v>
      </c>
      <c r="N179" s="3" t="s">
        <v>1574</v>
      </c>
      <c r="O179" s="1"/>
    </row>
    <row r="180" spans="1:15" x14ac:dyDescent="0.25">
      <c r="A180" s="2" t="s">
        <v>605</v>
      </c>
      <c r="B180" s="1" t="s">
        <v>394</v>
      </c>
      <c r="C180" s="1" t="s">
        <v>606</v>
      </c>
      <c r="D180" s="1" t="s">
        <v>607</v>
      </c>
      <c r="E180" s="1" t="str">
        <f>VLOOKUP(Table1[[#This Row],[Navn DK]],product_nodes_new_id!A:C,3,FALSE)</f>
        <v>11a26203-3580-479a-8645-655fb3e422cf</v>
      </c>
      <c r="F180" s="1">
        <v>1.4623133977882901</v>
      </c>
      <c r="G180" s="1">
        <v>0</v>
      </c>
      <c r="H180" s="1">
        <v>0</v>
      </c>
      <c r="I180" s="1">
        <v>0</v>
      </c>
      <c r="J180" s="1">
        <v>1</v>
      </c>
      <c r="K180" s="1" t="s">
        <v>17</v>
      </c>
      <c r="L180" s="1">
        <v>1</v>
      </c>
      <c r="M180" s="1" t="s">
        <v>18</v>
      </c>
      <c r="N180" s="3" t="s">
        <v>608</v>
      </c>
      <c r="O180" s="1"/>
    </row>
    <row r="181" spans="1:15" x14ac:dyDescent="0.25">
      <c r="A181" s="2" t="s">
        <v>371</v>
      </c>
      <c r="B181" s="1" t="s">
        <v>130</v>
      </c>
      <c r="C181" s="1" t="s">
        <v>22</v>
      </c>
      <c r="D181" s="1" t="s">
        <v>372</v>
      </c>
      <c r="E181" s="1" t="str">
        <f>VLOOKUP(Table1[[#This Row],[Navn DK]],product_nodes_new_id!A:C,3,FALSE)</f>
        <v>2af36d8b-144a-4cee-961b-2ffb7084395e</v>
      </c>
      <c r="F181" s="1">
        <v>273.90000000000003</v>
      </c>
      <c r="G181" s="1">
        <v>2.9810000000000003</v>
      </c>
      <c r="H181" s="1">
        <v>0.90420000000000011</v>
      </c>
      <c r="I181" s="1">
        <v>-1.8180000000000001</v>
      </c>
      <c r="J181" s="1">
        <v>1</v>
      </c>
      <c r="K181" s="1" t="s">
        <v>339</v>
      </c>
      <c r="L181" s="1">
        <v>1850</v>
      </c>
      <c r="M181" s="1" t="s">
        <v>69</v>
      </c>
      <c r="N181" s="3" t="s">
        <v>133</v>
      </c>
      <c r="O181" s="1"/>
    </row>
    <row r="182" spans="1:15" x14ac:dyDescent="0.25">
      <c r="A182" s="2" t="s">
        <v>1096</v>
      </c>
      <c r="B182" s="1" t="s">
        <v>394</v>
      </c>
      <c r="C182" s="1" t="s">
        <v>1097</v>
      </c>
      <c r="D182" s="1" t="s">
        <v>1098</v>
      </c>
      <c r="E182" s="1" t="str">
        <f>VLOOKUP(Table1[[#This Row],[Navn DK]],product_nodes_new_id!A:C,3,FALSE)</f>
        <v>b1358041-f641-46a2-9e20-bfcca4e4702d</v>
      </c>
      <c r="F182" s="1">
        <v>397.70860100765202</v>
      </c>
      <c r="G182" s="1">
        <v>0</v>
      </c>
      <c r="H182" s="1">
        <v>28.966916912751302</v>
      </c>
      <c r="I182" s="1">
        <v>0</v>
      </c>
      <c r="J182" s="1">
        <v>1</v>
      </c>
      <c r="K182" s="1" t="s">
        <v>68</v>
      </c>
      <c r="L182" s="1">
        <v>1800</v>
      </c>
      <c r="M182" s="1" t="s">
        <v>69</v>
      </c>
      <c r="N182" s="3" t="s">
        <v>1099</v>
      </c>
      <c r="O182" s="1"/>
    </row>
    <row r="183" spans="1:15" x14ac:dyDescent="0.25">
      <c r="A183" s="2" t="s">
        <v>1194</v>
      </c>
      <c r="B183" s="1" t="s">
        <v>394</v>
      </c>
      <c r="C183" s="1" t="s">
        <v>1195</v>
      </c>
      <c r="D183" s="1" t="s">
        <v>1196</v>
      </c>
      <c r="E183" s="1" t="str">
        <f>VLOOKUP(Table1[[#This Row],[Navn DK]],product_nodes_new_id!A:C,3,FALSE)</f>
        <v>539b8fe8-0a7f-44ab-b1d5-59f7d43ed741</v>
      </c>
      <c r="F183" s="1">
        <v>192.989753658192</v>
      </c>
      <c r="G183" s="1">
        <v>0</v>
      </c>
      <c r="H183" s="1">
        <v>14.483458456375701</v>
      </c>
      <c r="I183" s="1">
        <v>0</v>
      </c>
      <c r="J183" s="1">
        <v>1</v>
      </c>
      <c r="K183" s="1" t="s">
        <v>68</v>
      </c>
      <c r="L183" s="1">
        <v>900</v>
      </c>
      <c r="M183" s="1" t="s">
        <v>69</v>
      </c>
      <c r="N183" s="3" t="s">
        <v>1676</v>
      </c>
      <c r="O183" s="1"/>
    </row>
    <row r="184" spans="1:15" x14ac:dyDescent="0.25">
      <c r="A184" s="2" t="s">
        <v>365</v>
      </c>
      <c r="B184" s="1" t="s">
        <v>130</v>
      </c>
      <c r="C184" s="1" t="s">
        <v>22</v>
      </c>
      <c r="D184" s="1" t="s">
        <v>366</v>
      </c>
      <c r="E184" s="1" t="str">
        <f>VLOOKUP(Table1[[#This Row],[Navn DK]],product_nodes_new_id!A:C,3,FALSE)</f>
        <v>e579fb7f-694d-495a-8d5c-b82c3eaf0631</v>
      </c>
      <c r="F184" s="1">
        <v>229.9</v>
      </c>
      <c r="G184" s="1">
        <v>2.75</v>
      </c>
      <c r="H184" s="1">
        <v>15.400000000000002</v>
      </c>
      <c r="I184" s="1">
        <v>-4.0410000000000004</v>
      </c>
      <c r="J184" s="1">
        <v>1</v>
      </c>
      <c r="K184" s="1" t="s">
        <v>339</v>
      </c>
      <c r="L184" s="1">
        <v>1800</v>
      </c>
      <c r="M184" s="1" t="s">
        <v>69</v>
      </c>
      <c r="N184" s="3" t="s">
        <v>133</v>
      </c>
      <c r="O184" s="1"/>
    </row>
    <row r="185" spans="1:15" x14ac:dyDescent="0.25">
      <c r="A185" s="2" t="s">
        <v>955</v>
      </c>
      <c r="B185" s="1" t="s">
        <v>394</v>
      </c>
      <c r="C185" s="1" t="s">
        <v>956</v>
      </c>
      <c r="D185" s="1" t="s">
        <v>957</v>
      </c>
      <c r="E185" s="1" t="str">
        <f>VLOOKUP(Table1[[#This Row],[Navn DK]],product_nodes_new_id!A:C,3,FALSE)</f>
        <v>10519aea-2a5f-4fd8-b228-655f35b5aa05</v>
      </c>
      <c r="F185" s="1">
        <v>6.04386505676288</v>
      </c>
      <c r="G185" s="1">
        <v>0.14783929400739701</v>
      </c>
      <c r="H185" s="1">
        <v>0</v>
      </c>
      <c r="I185" s="1">
        <v>-2.8864618056892302E-2</v>
      </c>
      <c r="J185" s="1">
        <v>1</v>
      </c>
      <c r="K185" s="1" t="s">
        <v>24</v>
      </c>
      <c r="L185" s="1">
        <v>20</v>
      </c>
      <c r="M185" s="1" t="s">
        <v>25</v>
      </c>
      <c r="N185" s="3" t="s">
        <v>958</v>
      </c>
      <c r="O185" s="1"/>
    </row>
    <row r="186" spans="1:15" x14ac:dyDescent="0.25">
      <c r="A186" s="2" t="s">
        <v>959</v>
      </c>
      <c r="B186" s="1" t="s">
        <v>394</v>
      </c>
      <c r="C186" s="1" t="s">
        <v>960</v>
      </c>
      <c r="D186" s="1" t="s">
        <v>961</v>
      </c>
      <c r="E186" s="1" t="str">
        <f>VLOOKUP(Table1[[#This Row],[Navn DK]],product_nodes_new_id!A:C,3,FALSE)</f>
        <v>0e6264d0-28a2-47f7-bbda-61f3daf6829d</v>
      </c>
      <c r="F186" s="1">
        <v>6.7140328077227096</v>
      </c>
      <c r="G186" s="1">
        <v>0.14783929400739701</v>
      </c>
      <c r="H186" s="1">
        <v>0</v>
      </c>
      <c r="I186" s="1">
        <v>-2.8864618056892302E-2</v>
      </c>
      <c r="J186" s="1">
        <v>1</v>
      </c>
      <c r="K186" s="1" t="s">
        <v>24</v>
      </c>
      <c r="L186" s="1">
        <v>20</v>
      </c>
      <c r="M186" s="1" t="s">
        <v>25</v>
      </c>
      <c r="N186" s="3" t="s">
        <v>1644</v>
      </c>
      <c r="O186" s="1"/>
    </row>
    <row r="187" spans="1:15" x14ac:dyDescent="0.25">
      <c r="A187" s="2" t="s">
        <v>1135</v>
      </c>
      <c r="B187" s="1" t="s">
        <v>394</v>
      </c>
      <c r="C187" s="1" t="s">
        <v>1136</v>
      </c>
      <c r="D187" s="1" t="s">
        <v>1137</v>
      </c>
      <c r="E187" s="1" t="str">
        <f>VLOOKUP(Table1[[#This Row],[Navn DK]],product_nodes_new_id!A:C,3,FALSE)</f>
        <v>b8c7866e-cede-4351-9474-74e86e797faa</v>
      </c>
      <c r="F187" s="1">
        <v>-424.39939448679399</v>
      </c>
      <c r="G187" s="1">
        <v>1010.2276012290901</v>
      </c>
      <c r="H187" s="1">
        <v>0</v>
      </c>
      <c r="I187" s="1">
        <v>-235.72681462615799</v>
      </c>
      <c r="J187" s="1">
        <v>1</v>
      </c>
      <c r="K187" s="1" t="s">
        <v>68</v>
      </c>
      <c r="L187" s="1">
        <v>465.7</v>
      </c>
      <c r="M187" s="1" t="s">
        <v>69</v>
      </c>
      <c r="N187" s="3" t="s">
        <v>1667</v>
      </c>
      <c r="O187" s="1"/>
    </row>
    <row r="188" spans="1:15" x14ac:dyDescent="0.25">
      <c r="A188" s="2" t="s">
        <v>612</v>
      </c>
      <c r="B188" s="1" t="s">
        <v>394</v>
      </c>
      <c r="C188" s="1" t="s">
        <v>613</v>
      </c>
      <c r="D188" s="1" t="s">
        <v>614</v>
      </c>
      <c r="E188" s="1" t="str">
        <f>VLOOKUP(Table1[[#This Row],[Navn DK]],product_nodes_new_id!A:C,3,FALSE)</f>
        <v>0be8f0c4-ae38-4397-8a5b-9c3fa50a75ac</v>
      </c>
      <c r="F188" s="1">
        <v>7.91966213837126</v>
      </c>
      <c r="G188" s="1">
        <v>0</v>
      </c>
      <c r="H188" s="1">
        <v>0</v>
      </c>
      <c r="I188" s="1">
        <v>1.56527458263452</v>
      </c>
      <c r="J188" s="1">
        <v>1</v>
      </c>
      <c r="K188" s="1" t="s">
        <v>17</v>
      </c>
      <c r="L188" s="1">
        <v>1</v>
      </c>
      <c r="M188" s="1" t="s">
        <v>18</v>
      </c>
      <c r="N188" s="3" t="s">
        <v>1586</v>
      </c>
      <c r="O188" s="1"/>
    </row>
    <row r="189" spans="1:15" x14ac:dyDescent="0.25">
      <c r="A189" s="2" t="s">
        <v>1268</v>
      </c>
      <c r="B189" s="1" t="s">
        <v>394</v>
      </c>
      <c r="C189" s="1" t="s">
        <v>1269</v>
      </c>
      <c r="D189" s="1" t="s">
        <v>1270</v>
      </c>
      <c r="E189" s="1" t="str">
        <f>VLOOKUP(Table1[[#This Row],[Navn DK]],product_nodes_new_id!A:C,3,FALSE)</f>
        <v>29ca56b6-7014-4631-a4fa-73dda671bad0</v>
      </c>
      <c r="F189" s="1">
        <v>735.68107149194998</v>
      </c>
      <c r="G189" s="1">
        <v>20.5636838726133</v>
      </c>
      <c r="H189" s="1">
        <v>2.0304531661844201</v>
      </c>
      <c r="I189" s="1">
        <v>-152.24040177468399</v>
      </c>
      <c r="J189" s="1">
        <v>1</v>
      </c>
      <c r="K189" s="1" t="s">
        <v>123</v>
      </c>
      <c r="L189" s="1">
        <v>133</v>
      </c>
      <c r="M189" s="1" t="s">
        <v>124</v>
      </c>
      <c r="N189" s="3" t="s">
        <v>1271</v>
      </c>
      <c r="O189" s="1"/>
    </row>
    <row r="190" spans="1:15" x14ac:dyDescent="0.25">
      <c r="A190" s="2" t="s">
        <v>1389</v>
      </c>
      <c r="B190" s="1" t="s">
        <v>394</v>
      </c>
      <c r="C190" s="1" t="s">
        <v>1390</v>
      </c>
      <c r="D190" s="1" t="s">
        <v>1391</v>
      </c>
      <c r="E190" s="1" t="str">
        <f>VLOOKUP(Table1[[#This Row],[Navn DK]],product_nodes_new_id!A:C,3,FALSE)</f>
        <v>e3fc1fed-6bef-492a-b688-0e02b6a4a8b4</v>
      </c>
      <c r="F190" s="1">
        <v>470.17211335951703</v>
      </c>
      <c r="G190" s="1">
        <v>13.1498936991372</v>
      </c>
      <c r="H190" s="1">
        <v>1.2973968296187399</v>
      </c>
      <c r="I190" s="1">
        <v>-97.303589973643994</v>
      </c>
      <c r="J190" s="1">
        <v>1</v>
      </c>
      <c r="K190" s="1" t="s">
        <v>123</v>
      </c>
      <c r="L190" s="1">
        <v>85</v>
      </c>
      <c r="M190" s="1" t="s">
        <v>124</v>
      </c>
      <c r="N190" s="3" t="s">
        <v>1392</v>
      </c>
      <c r="O190" s="1"/>
    </row>
    <row r="191" spans="1:15" x14ac:dyDescent="0.25">
      <c r="A191" s="2" t="s">
        <v>1442</v>
      </c>
      <c r="B191" s="1" t="s">
        <v>394</v>
      </c>
      <c r="C191" s="1" t="s">
        <v>1443</v>
      </c>
      <c r="D191" s="1" t="s">
        <v>1444</v>
      </c>
      <c r="E191" s="1" t="str">
        <f>VLOOKUP(Table1[[#This Row],[Navn DK]],product_nodes_new_id!A:C,3,FALSE)</f>
        <v>d52053bc-7523-4bb9-bc92-bd3209bf723a</v>
      </c>
      <c r="F191" s="1">
        <v>3456.8601598684099</v>
      </c>
      <c r="G191" s="1">
        <v>152.20382792393599</v>
      </c>
      <c r="H191" s="1">
        <v>3.4316642349178599</v>
      </c>
      <c r="I191" s="1">
        <v>-1126.7649522561701</v>
      </c>
      <c r="J191" s="1">
        <v>1</v>
      </c>
      <c r="K191" s="1" t="s">
        <v>123</v>
      </c>
      <c r="L191" s="1">
        <v>974</v>
      </c>
      <c r="M191" s="1" t="s">
        <v>124</v>
      </c>
      <c r="N191" s="3" t="s">
        <v>1445</v>
      </c>
      <c r="O191" s="1"/>
    </row>
    <row r="192" spans="1:15" x14ac:dyDescent="0.25">
      <c r="A192" s="2" t="s">
        <v>1351</v>
      </c>
      <c r="B192" s="1" t="s">
        <v>394</v>
      </c>
      <c r="C192" s="1" t="s">
        <v>1352</v>
      </c>
      <c r="D192" s="1" t="s">
        <v>1353</v>
      </c>
      <c r="E192" s="1" t="str">
        <f>VLOOKUP(Table1[[#This Row],[Navn DK]],product_nodes_new_id!A:C,3,FALSE)</f>
        <v>ac9afb37-f42a-4a3f-a3d1-693ed171ec75</v>
      </c>
      <c r="F192" s="1">
        <v>1256.71191085843</v>
      </c>
      <c r="G192" s="1">
        <v>44.0405527705922</v>
      </c>
      <c r="H192" s="1">
        <v>2.4916228614946401</v>
      </c>
      <c r="I192" s="1">
        <v>-325.95647533473101</v>
      </c>
      <c r="J192" s="1">
        <v>1</v>
      </c>
      <c r="K192" s="1" t="s">
        <v>123</v>
      </c>
      <c r="L192" s="1">
        <v>283</v>
      </c>
      <c r="M192" s="1" t="s">
        <v>124</v>
      </c>
      <c r="N192" s="3" t="s">
        <v>1354</v>
      </c>
      <c r="O192" s="1"/>
    </row>
    <row r="193" spans="1:15" x14ac:dyDescent="0.25">
      <c r="A193" s="2" t="s">
        <v>385</v>
      </c>
      <c r="B193" s="1" t="s">
        <v>130</v>
      </c>
      <c r="C193" s="1" t="s">
        <v>22</v>
      </c>
      <c r="D193" s="1" t="s">
        <v>386</v>
      </c>
      <c r="E193" s="1" t="str">
        <f>VLOOKUP(Table1[[#This Row],[Navn DK]],product_nodes_new_id!A:C,3,FALSE)</f>
        <v>57016e51-808a-4c95-b589-fe3c42d5b0f8</v>
      </c>
      <c r="F193" s="1">
        <v>2191.75</v>
      </c>
      <c r="G193" s="1">
        <v>46.53</v>
      </c>
      <c r="H193" s="1">
        <v>45.870000000000005</v>
      </c>
      <c r="I193" s="1">
        <v>-18.720000000000002</v>
      </c>
      <c r="J193" s="1">
        <v>1</v>
      </c>
      <c r="K193" s="1" t="s">
        <v>339</v>
      </c>
      <c r="L193" s="1">
        <v>7850</v>
      </c>
      <c r="M193" s="1" t="s">
        <v>69</v>
      </c>
      <c r="N193" s="3" t="s">
        <v>133</v>
      </c>
      <c r="O193" s="1"/>
    </row>
    <row r="194" spans="1:15" x14ac:dyDescent="0.25">
      <c r="A194" s="2" t="s">
        <v>387</v>
      </c>
      <c r="B194" s="1" t="s">
        <v>130</v>
      </c>
      <c r="C194" s="1" t="s">
        <v>22</v>
      </c>
      <c r="D194" s="1" t="s">
        <v>388</v>
      </c>
      <c r="E194" s="1" t="str">
        <f>VLOOKUP(Table1[[#This Row],[Navn DK]],product_nodes_new_id!A:C,3,FALSE)</f>
        <v>777a2f9f-21f4-47f4-bcc4-a6632d0a5284</v>
      </c>
      <c r="F194" s="1">
        <v>2849.0000000000005</v>
      </c>
      <c r="G194" s="1">
        <v>2.0240000000000005</v>
      </c>
      <c r="H194" s="1">
        <v>0.1595</v>
      </c>
      <c r="I194" s="1">
        <v>-1188</v>
      </c>
      <c r="J194" s="1">
        <v>1</v>
      </c>
      <c r="K194" s="1" t="s">
        <v>339</v>
      </c>
      <c r="L194" s="1">
        <v>7850</v>
      </c>
      <c r="M194" s="1" t="s">
        <v>69</v>
      </c>
      <c r="N194" s="3" t="s">
        <v>133</v>
      </c>
      <c r="O194" s="1"/>
    </row>
    <row r="195" spans="1:15" x14ac:dyDescent="0.25">
      <c r="A195" s="2" t="s">
        <v>383</v>
      </c>
      <c r="B195" s="1" t="s">
        <v>130</v>
      </c>
      <c r="C195" s="1" t="s">
        <v>22</v>
      </c>
      <c r="D195" s="1" t="s">
        <v>384</v>
      </c>
      <c r="E195" s="1" t="str">
        <f>VLOOKUP(Table1[[#This Row],[Navn DK]],product_nodes_new_id!A:C,3,FALSE)</f>
        <v>ef8c44e8-e1a3-47ce-846f-71dba19b2d6c</v>
      </c>
      <c r="F195" s="1">
        <v>1639.0000000000002</v>
      </c>
      <c r="G195" s="1">
        <v>52.58</v>
      </c>
      <c r="H195" s="1">
        <v>45.870000000000005</v>
      </c>
      <c r="I195" s="1">
        <v>-284.40000000000003</v>
      </c>
      <c r="J195" s="1">
        <v>1</v>
      </c>
      <c r="K195" s="1" t="s">
        <v>339</v>
      </c>
      <c r="L195" s="1">
        <v>7850</v>
      </c>
      <c r="M195" s="1" t="s">
        <v>69</v>
      </c>
      <c r="N195" s="3" t="s">
        <v>133</v>
      </c>
      <c r="O195" s="1"/>
    </row>
    <row r="196" spans="1:15" x14ac:dyDescent="0.25">
      <c r="A196" s="2" t="s">
        <v>73</v>
      </c>
      <c r="B196" s="1" t="s">
        <v>14</v>
      </c>
      <c r="C196" s="1" t="s">
        <v>22</v>
      </c>
      <c r="D196" s="1" t="s">
        <v>74</v>
      </c>
      <c r="E196" s="1" t="str">
        <f>VLOOKUP(Table1[[#This Row],[Navn DK]],product_nodes_new_id!A:C,3,FALSE)</f>
        <v>1ccb1ead-b052-4eaf-9993-d45ed6e0acb8</v>
      </c>
      <c r="F196" s="1">
        <v>-670</v>
      </c>
      <c r="G196" s="1">
        <v>728</v>
      </c>
      <c r="H196" s="1">
        <v>0</v>
      </c>
      <c r="I196" s="1">
        <v>-371</v>
      </c>
      <c r="J196" s="1">
        <v>1</v>
      </c>
      <c r="K196" s="1" t="s">
        <v>68</v>
      </c>
      <c r="L196" s="1">
        <v>456</v>
      </c>
      <c r="M196" s="1" t="s">
        <v>69</v>
      </c>
      <c r="N196" s="3" t="s">
        <v>75</v>
      </c>
      <c r="O196" s="1"/>
    </row>
    <row r="197" spans="1:15" x14ac:dyDescent="0.25">
      <c r="A197" s="2" t="s">
        <v>76</v>
      </c>
      <c r="B197" s="1" t="s">
        <v>14</v>
      </c>
      <c r="C197" s="1" t="s">
        <v>22</v>
      </c>
      <c r="D197" s="1" t="s">
        <v>77</v>
      </c>
      <c r="E197" s="1" t="str">
        <f>VLOOKUP(Table1[[#This Row],[Navn DK]],product_nodes_new_id!A:C,3,FALSE)</f>
        <v>be369a20-4195-42ee-87a8-8d29bfe7fc7f</v>
      </c>
      <c r="F197" s="1">
        <v>-680</v>
      </c>
      <c r="G197" s="1">
        <v>728</v>
      </c>
      <c r="H197" s="1">
        <v>0</v>
      </c>
      <c r="I197" s="1">
        <v>-371</v>
      </c>
      <c r="J197" s="1">
        <v>1</v>
      </c>
      <c r="K197" s="1" t="s">
        <v>68</v>
      </c>
      <c r="L197" s="1">
        <v>456</v>
      </c>
      <c r="M197" s="1" t="s">
        <v>69</v>
      </c>
      <c r="N197" s="3" t="s">
        <v>78</v>
      </c>
      <c r="O197" s="1"/>
    </row>
    <row r="198" spans="1:15" x14ac:dyDescent="0.25">
      <c r="A198" s="2" t="s">
        <v>88</v>
      </c>
      <c r="B198" s="1" t="s">
        <v>14</v>
      </c>
      <c r="C198" s="1" t="s">
        <v>22</v>
      </c>
      <c r="D198" s="1" t="s">
        <v>89</v>
      </c>
      <c r="E198" s="1" t="str">
        <f>VLOOKUP(Table1[[#This Row],[Navn DK]],product_nodes_new_id!A:C,3,FALSE)</f>
        <v>a178aa0c-9f6a-47ff-b2e5-4457386dd2ac</v>
      </c>
      <c r="F198" s="1">
        <v>-652</v>
      </c>
      <c r="G198" s="1">
        <v>709</v>
      </c>
      <c r="H198" s="1">
        <v>0</v>
      </c>
      <c r="I198" s="1">
        <v>-425</v>
      </c>
      <c r="J198" s="1">
        <v>1</v>
      </c>
      <c r="K198" s="1" t="s">
        <v>68</v>
      </c>
      <c r="L198" s="1">
        <v>536</v>
      </c>
      <c r="M198" s="1" t="s">
        <v>69</v>
      </c>
      <c r="N198" s="3" t="s">
        <v>90</v>
      </c>
      <c r="O198" s="1"/>
    </row>
    <row r="199" spans="1:15" x14ac:dyDescent="0.25">
      <c r="A199" s="2" t="s">
        <v>93</v>
      </c>
      <c r="B199" s="1" t="s">
        <v>14</v>
      </c>
      <c r="C199" s="1" t="s">
        <v>22</v>
      </c>
      <c r="D199" s="1" t="s">
        <v>94</v>
      </c>
      <c r="E199" s="1" t="str">
        <f>VLOOKUP(Table1[[#This Row],[Navn DK]],product_nodes_new_id!A:C,3,FALSE)</f>
        <v>c868207d-e604-40da-907a-00a3e9428bfd</v>
      </c>
      <c r="F199" s="1">
        <v>-664</v>
      </c>
      <c r="G199" s="1">
        <v>709</v>
      </c>
      <c r="H199" s="1">
        <v>0</v>
      </c>
      <c r="I199" s="1">
        <v>-425</v>
      </c>
      <c r="J199" s="1">
        <v>1</v>
      </c>
      <c r="K199" s="1" t="s">
        <v>68</v>
      </c>
      <c r="L199" s="1">
        <v>644</v>
      </c>
      <c r="M199" s="1" t="s">
        <v>69</v>
      </c>
      <c r="N199" s="3" t="s">
        <v>95</v>
      </c>
      <c r="O199" s="1"/>
    </row>
    <row r="200" spans="1:15" x14ac:dyDescent="0.25">
      <c r="A200" s="2" t="s">
        <v>1531</v>
      </c>
      <c r="B200" s="1" t="s">
        <v>1512</v>
      </c>
      <c r="C200" s="1" t="s">
        <v>22</v>
      </c>
      <c r="D200" s="1" t="s">
        <v>1532</v>
      </c>
      <c r="E200" s="1" t="e">
        <f>VLOOKUP(Table1[[#This Row],[Navn DK]],product_nodes_new_id!A:C,3,FALSE)</f>
        <v>#N/A</v>
      </c>
      <c r="F200" s="1">
        <v>4.7E-2</v>
      </c>
      <c r="G200" s="1">
        <v>5.2999999999999999E-2</v>
      </c>
      <c r="H200" s="1">
        <v>0</v>
      </c>
      <c r="I200" s="1">
        <v>-2.8000000000000001E-2</v>
      </c>
      <c r="J200" s="1"/>
      <c r="K200" s="1"/>
      <c r="L200" s="1">
        <v>0.14000000000000001</v>
      </c>
      <c r="M200" s="1" t="s">
        <v>25</v>
      </c>
      <c r="N200" s="3" t="s">
        <v>1514</v>
      </c>
      <c r="O200" s="1"/>
    </row>
    <row r="201" spans="1:15" x14ac:dyDescent="0.25">
      <c r="A201" s="2" t="s">
        <v>1533</v>
      </c>
      <c r="B201" s="1" t="s">
        <v>1512</v>
      </c>
      <c r="C201" s="1" t="s">
        <v>22</v>
      </c>
      <c r="D201" s="1" t="s">
        <v>1534</v>
      </c>
      <c r="E201" s="1" t="e">
        <f>VLOOKUP(Table1[[#This Row],[Navn DK]],product_nodes_new_id!A:C,3,FALSE)</f>
        <v>#N/A</v>
      </c>
      <c r="F201" s="1">
        <v>4.9000000000000002E-2</v>
      </c>
      <c r="G201" s="1">
        <v>1.0999999999999999E-2</v>
      </c>
      <c r="H201" s="1">
        <v>0</v>
      </c>
      <c r="I201" s="1">
        <v>-1.4E-2</v>
      </c>
      <c r="J201" s="1"/>
      <c r="K201" s="1"/>
      <c r="L201" s="1">
        <v>0.76</v>
      </c>
      <c r="M201" s="1" t="s">
        <v>25</v>
      </c>
      <c r="N201" s="3" t="s">
        <v>1514</v>
      </c>
      <c r="O201" s="1"/>
    </row>
    <row r="202" spans="1:15" x14ac:dyDescent="0.25">
      <c r="A202" s="2" t="s">
        <v>1535</v>
      </c>
      <c r="B202" s="1" t="s">
        <v>1512</v>
      </c>
      <c r="C202" s="1" t="s">
        <v>22</v>
      </c>
      <c r="D202" s="1" t="s">
        <v>1536</v>
      </c>
      <c r="E202" s="1" t="e">
        <f>VLOOKUP(Table1[[#This Row],[Navn DK]],product_nodes_new_id!A:C,3,FALSE)</f>
        <v>#N/A</v>
      </c>
      <c r="F202" s="1">
        <v>0.81499999999999995</v>
      </c>
      <c r="G202" s="1">
        <v>2.3E-2</v>
      </c>
      <c r="H202" s="1">
        <v>0</v>
      </c>
      <c r="I202" s="1">
        <v>-0.51700000000000002</v>
      </c>
      <c r="J202" s="1"/>
      <c r="K202" s="1"/>
      <c r="L202" s="1">
        <v>6.85</v>
      </c>
      <c r="M202" s="1" t="s">
        <v>25</v>
      </c>
      <c r="N202" s="3" t="s">
        <v>1514</v>
      </c>
      <c r="O202" s="1"/>
    </row>
    <row r="203" spans="1:15" x14ac:dyDescent="0.25">
      <c r="A203" s="2" t="s">
        <v>1497</v>
      </c>
      <c r="B203" s="1" t="s">
        <v>394</v>
      </c>
      <c r="C203" s="1" t="s">
        <v>811</v>
      </c>
      <c r="D203" s="1" t="s">
        <v>1498</v>
      </c>
      <c r="E203" s="1" t="str">
        <f>VLOOKUP(Table1[[#This Row],[Navn DK]],product_nodes_new_id!A:C,3,FALSE)</f>
        <v>10259ee3-1701-43cb-808a-9f8f35bb2d20</v>
      </c>
      <c r="F203" s="1">
        <v>4.1236965738341604</v>
      </c>
      <c r="G203" s="1">
        <v>4.5905927364386896</v>
      </c>
      <c r="H203" s="1">
        <v>0</v>
      </c>
      <c r="I203" s="1">
        <v>-1.4055087595478599</v>
      </c>
      <c r="J203" s="1">
        <v>1</v>
      </c>
      <c r="K203" s="1" t="s">
        <v>24</v>
      </c>
      <c r="L203" s="1">
        <v>3.1</v>
      </c>
      <c r="M203" s="1" t="s">
        <v>25</v>
      </c>
      <c r="N203" s="15" t="s">
        <v>812</v>
      </c>
      <c r="O203" s="1"/>
    </row>
    <row r="204" spans="1:15" x14ac:dyDescent="0.25">
      <c r="A204" s="2" t="s">
        <v>1174</v>
      </c>
      <c r="B204" s="1" t="s">
        <v>394</v>
      </c>
      <c r="C204" s="1" t="s">
        <v>1175</v>
      </c>
      <c r="D204" s="1" t="s">
        <v>1176</v>
      </c>
      <c r="E204" s="1" t="str">
        <f>VLOOKUP(Table1[[#This Row],[Navn DK]],product_nodes_new_id!A:C,3,FALSE)</f>
        <v>9e3aadf3-93f3-41d3-80d5-5eb10e83cb99</v>
      </c>
      <c r="F204" s="1">
        <v>-86.428743294644804</v>
      </c>
      <c r="G204" s="1">
        <v>138.150616919285</v>
      </c>
      <c r="H204" s="1">
        <v>0</v>
      </c>
      <c r="I204" s="1">
        <v>-38.746561223627801</v>
      </c>
      <c r="J204" s="1">
        <v>1</v>
      </c>
      <c r="K204" s="1" t="s">
        <v>68</v>
      </c>
      <c r="L204" s="1">
        <v>80</v>
      </c>
      <c r="M204" s="1" t="s">
        <v>69</v>
      </c>
      <c r="N204" s="3" t="s">
        <v>1672</v>
      </c>
      <c r="O204" s="1"/>
    </row>
    <row r="205" spans="1:15" x14ac:dyDescent="0.25">
      <c r="A205" s="2" t="s">
        <v>1481</v>
      </c>
      <c r="B205" s="1" t="s">
        <v>394</v>
      </c>
      <c r="C205" s="1" t="s">
        <v>1482</v>
      </c>
      <c r="D205" s="1" t="s">
        <v>1483</v>
      </c>
      <c r="E205" s="1" t="str">
        <f>VLOOKUP(Table1[[#This Row],[Navn DK]],product_nodes_new_id!A:C,3,FALSE)</f>
        <v>472b9b47-8c07-432c-9ad5-357fda558de7</v>
      </c>
      <c r="F205" s="1">
        <v>-1.68073858802761</v>
      </c>
      <c r="G205" s="1">
        <v>3.0056984077746001</v>
      </c>
      <c r="H205" s="1">
        <v>0</v>
      </c>
      <c r="I205" s="1">
        <v>-0.64191333108980597</v>
      </c>
      <c r="J205" s="1">
        <v>1</v>
      </c>
      <c r="K205" s="1" t="s">
        <v>24</v>
      </c>
      <c r="L205" s="1">
        <v>1.8</v>
      </c>
      <c r="M205" s="1" t="s">
        <v>25</v>
      </c>
      <c r="N205" s="3" t="s">
        <v>1484</v>
      </c>
      <c r="O205" s="1"/>
    </row>
    <row r="206" spans="1:15" x14ac:dyDescent="0.25">
      <c r="A206" s="2" t="s">
        <v>1493</v>
      </c>
      <c r="B206" s="1" t="s">
        <v>394</v>
      </c>
      <c r="C206" s="1" t="s">
        <v>1494</v>
      </c>
      <c r="D206" s="1" t="s">
        <v>1495</v>
      </c>
      <c r="E206" s="1" t="str">
        <f>VLOOKUP(Table1[[#This Row],[Navn DK]],product_nodes_new_id!A:C,3,FALSE)</f>
        <v>249144de-b91a-445f-a829-8dec14b2b9e2</v>
      </c>
      <c r="F206" s="1">
        <v>-2.5211078820414099</v>
      </c>
      <c r="G206" s="1">
        <v>4.5085476116618999</v>
      </c>
      <c r="H206" s="1">
        <v>0</v>
      </c>
      <c r="I206" s="1">
        <v>-0.96286999663470896</v>
      </c>
      <c r="J206" s="1">
        <v>1</v>
      </c>
      <c r="K206" s="1" t="s">
        <v>24</v>
      </c>
      <c r="L206" s="1">
        <v>2.7</v>
      </c>
      <c r="M206" s="1" t="s">
        <v>25</v>
      </c>
      <c r="N206" s="3" t="s">
        <v>1496</v>
      </c>
      <c r="O206" s="1"/>
    </row>
    <row r="207" spans="1:15" x14ac:dyDescent="0.25">
      <c r="A207" s="2" t="s">
        <v>1499</v>
      </c>
      <c r="B207" s="1" t="s">
        <v>394</v>
      </c>
      <c r="C207" s="1" t="s">
        <v>1500</v>
      </c>
      <c r="D207" s="1" t="s">
        <v>1501</v>
      </c>
      <c r="E207" s="1" t="str">
        <f>VLOOKUP(Table1[[#This Row],[Navn DK]],product_nodes_new_id!A:C,3,FALSE)</f>
        <v>1548c026-4728-4c55-a00b-7c5ad8e09a00</v>
      </c>
      <c r="F207" s="1">
        <v>-3.36147717605522</v>
      </c>
      <c r="G207" s="1">
        <v>6.0113968155492001</v>
      </c>
      <c r="H207" s="1">
        <v>0</v>
      </c>
      <c r="I207" s="1">
        <v>-1.2838266621796099</v>
      </c>
      <c r="J207" s="1">
        <v>1</v>
      </c>
      <c r="K207" s="1" t="s">
        <v>24</v>
      </c>
      <c r="L207" s="1">
        <v>3.6</v>
      </c>
      <c r="M207" s="1" t="s">
        <v>25</v>
      </c>
      <c r="N207" s="3" t="s">
        <v>1502</v>
      </c>
      <c r="O207" s="1"/>
    </row>
    <row r="208" spans="1:15" x14ac:dyDescent="0.25">
      <c r="A208" s="2" t="s">
        <v>82</v>
      </c>
      <c r="B208" s="1" t="s">
        <v>14</v>
      </c>
      <c r="C208" s="1" t="s">
        <v>22</v>
      </c>
      <c r="D208" s="1" t="s">
        <v>83</v>
      </c>
      <c r="E208" s="1" t="str">
        <f>VLOOKUP(Table1[[#This Row],[Navn DK]],product_nodes_new_id!A:C,3,FALSE)</f>
        <v>f67b60dd-eb6d-4b59-bc8d-189feaf7f8b3</v>
      </c>
      <c r="F208" s="1">
        <v>-599</v>
      </c>
      <c r="G208" s="1">
        <v>743</v>
      </c>
      <c r="H208" s="1">
        <v>0</v>
      </c>
      <c r="I208" s="1">
        <v>-391</v>
      </c>
      <c r="J208" s="1">
        <v>1</v>
      </c>
      <c r="K208" s="1" t="s">
        <v>68</v>
      </c>
      <c r="L208" s="1">
        <v>480</v>
      </c>
      <c r="M208" s="1" t="s">
        <v>69</v>
      </c>
      <c r="N208" s="3" t="s">
        <v>84</v>
      </c>
      <c r="O208" s="1"/>
    </row>
    <row r="209" spans="1:15" x14ac:dyDescent="0.25">
      <c r="A209" s="2" t="s">
        <v>79</v>
      </c>
      <c r="B209" s="1" t="s">
        <v>14</v>
      </c>
      <c r="C209" s="1" t="s">
        <v>22</v>
      </c>
      <c r="D209" s="1" t="s">
        <v>80</v>
      </c>
      <c r="E209" s="1" t="str">
        <f>VLOOKUP(Table1[[#This Row],[Navn DK]],product_nodes_new_id!A:C,3,FALSE)</f>
        <v>5388c41d-3ad1-436c-bb41-393f65726aba</v>
      </c>
      <c r="F209" s="18">
        <v>-664</v>
      </c>
      <c r="G209" s="1">
        <v>744</v>
      </c>
      <c r="H209" s="18">
        <v>0</v>
      </c>
      <c r="I209" s="1">
        <v>-387</v>
      </c>
      <c r="J209" s="1">
        <v>1</v>
      </c>
      <c r="K209" s="1" t="s">
        <v>68</v>
      </c>
      <c r="L209" s="1">
        <v>470</v>
      </c>
      <c r="M209" s="1" t="s">
        <v>69</v>
      </c>
      <c r="N209" s="3" t="s">
        <v>81</v>
      </c>
      <c r="O209" s="1"/>
    </row>
    <row r="210" spans="1:15" x14ac:dyDescent="0.25">
      <c r="A210" s="2" t="s">
        <v>626</v>
      </c>
      <c r="B210" s="1" t="s">
        <v>394</v>
      </c>
      <c r="C210" s="1" t="s">
        <v>627</v>
      </c>
      <c r="D210" s="1" t="s">
        <v>628</v>
      </c>
      <c r="E210" s="1" t="str">
        <f>VLOOKUP(Table1[[#This Row],[Navn DK]],product_nodes_new_id!A:C,3,FALSE)</f>
        <v>4535b225-7d7d-441a-8494-95a32d4d4be9</v>
      </c>
      <c r="F210" s="1">
        <v>1.0408680484269801</v>
      </c>
      <c r="G210" s="1">
        <v>0</v>
      </c>
      <c r="H210" s="1">
        <v>0</v>
      </c>
      <c r="I210" s="1">
        <v>-0.86161762700969302</v>
      </c>
      <c r="J210" s="1">
        <v>1</v>
      </c>
      <c r="K210" s="1" t="s">
        <v>17</v>
      </c>
      <c r="L210" s="1">
        <v>1</v>
      </c>
      <c r="M210" s="1" t="s">
        <v>18</v>
      </c>
      <c r="N210" s="3" t="s">
        <v>1591</v>
      </c>
      <c r="O210" s="1"/>
    </row>
    <row r="211" spans="1:15" x14ac:dyDescent="0.25">
      <c r="A211" s="2" t="s">
        <v>1018</v>
      </c>
      <c r="B211" s="1" t="s">
        <v>394</v>
      </c>
      <c r="C211" s="1" t="s">
        <v>1019</v>
      </c>
      <c r="D211" s="1" t="s">
        <v>1020</v>
      </c>
      <c r="E211" s="1" t="str">
        <f>VLOOKUP(Table1[[#This Row],[Navn DK]],product_nodes_new_id!A:C,3,FALSE)</f>
        <v>8c8f7705-c216-4ded-824e-61df2c6d5dc0</v>
      </c>
      <c r="F211" s="1">
        <v>26.138319605728402</v>
      </c>
      <c r="G211" s="1">
        <v>0.38438216441923201</v>
      </c>
      <c r="H211" s="1">
        <v>0</v>
      </c>
      <c r="I211" s="1">
        <v>-7.5048006947920007E-2</v>
      </c>
      <c r="J211" s="1">
        <v>1</v>
      </c>
      <c r="K211" s="1" t="s">
        <v>24</v>
      </c>
      <c r="L211" s="1">
        <v>52</v>
      </c>
      <c r="M211" s="1" t="s">
        <v>25</v>
      </c>
      <c r="N211" s="3" t="s">
        <v>1649</v>
      </c>
      <c r="O211" s="1"/>
    </row>
    <row r="212" spans="1:15" x14ac:dyDescent="0.25">
      <c r="A212" s="2" t="s">
        <v>744</v>
      </c>
      <c r="B212" s="1" t="s">
        <v>394</v>
      </c>
      <c r="C212" s="1" t="s">
        <v>554</v>
      </c>
      <c r="D212" s="1" t="s">
        <v>745</v>
      </c>
      <c r="E212" s="1" t="str">
        <f>VLOOKUP(Table1[[#This Row],[Navn DK]],product_nodes_new_id!A:C,3,FALSE)</f>
        <v>3aeaefe3-90cc-433b-972b-37d5ac616855</v>
      </c>
      <c r="F212" s="1">
        <v>11.029799404982001</v>
      </c>
      <c r="G212" s="1">
        <v>0</v>
      </c>
      <c r="H212" s="1">
        <v>0</v>
      </c>
      <c r="I212" s="1">
        <v>-9.1316798888821307</v>
      </c>
      <c r="J212" s="1">
        <v>1</v>
      </c>
      <c r="K212" s="1" t="s">
        <v>17</v>
      </c>
      <c r="L212" s="1">
        <v>1</v>
      </c>
      <c r="M212" s="1" t="s">
        <v>18</v>
      </c>
      <c r="N212" s="3" t="s">
        <v>556</v>
      </c>
      <c r="O212" s="1"/>
    </row>
    <row r="213" spans="1:15" x14ac:dyDescent="0.25">
      <c r="A213" s="2" t="s">
        <v>553</v>
      </c>
      <c r="B213" s="1" t="s">
        <v>394</v>
      </c>
      <c r="C213" s="1" t="s">
        <v>554</v>
      </c>
      <c r="D213" s="1" t="s">
        <v>555</v>
      </c>
      <c r="E213" s="1" t="str">
        <f>VLOOKUP(Table1[[#This Row],[Navn DK]],product_nodes_new_id!A:C,3,FALSE)</f>
        <v>83e09437-e12c-4bb3-9eb5-921b68af9acb</v>
      </c>
      <c r="F213" s="1">
        <v>11.029799404982001</v>
      </c>
      <c r="G213" s="1">
        <v>0</v>
      </c>
      <c r="H213" s="1">
        <v>0</v>
      </c>
      <c r="I213" s="1">
        <v>-9.1316798888821307</v>
      </c>
      <c r="J213" s="1">
        <v>1</v>
      </c>
      <c r="K213" s="1" t="s">
        <v>17</v>
      </c>
      <c r="L213" s="1">
        <v>1</v>
      </c>
      <c r="M213" s="1" t="s">
        <v>18</v>
      </c>
      <c r="N213" s="3" t="s">
        <v>556</v>
      </c>
      <c r="O213" s="1"/>
    </row>
    <row r="214" spans="1:15" x14ac:dyDescent="0.25">
      <c r="A214" s="2" t="s">
        <v>632</v>
      </c>
      <c r="B214" s="1" t="s">
        <v>394</v>
      </c>
      <c r="C214" s="1" t="s">
        <v>554</v>
      </c>
      <c r="D214" s="1" t="s">
        <v>633</v>
      </c>
      <c r="E214" s="1" t="str">
        <f>VLOOKUP(Table1[[#This Row],[Navn DK]],product_nodes_new_id!A:C,3,FALSE)</f>
        <v>d964cac2-b99d-482a-8b16-7a4b79e512d5</v>
      </c>
      <c r="F214" s="1">
        <v>11.029799404982001</v>
      </c>
      <c r="G214" s="1">
        <v>0</v>
      </c>
      <c r="H214" s="1">
        <v>0</v>
      </c>
      <c r="I214" s="1">
        <v>-9.1316798888821307</v>
      </c>
      <c r="J214" s="1">
        <v>1</v>
      </c>
      <c r="K214" s="1" t="s">
        <v>17</v>
      </c>
      <c r="L214" s="1">
        <v>1</v>
      </c>
      <c r="M214" s="1" t="s">
        <v>18</v>
      </c>
      <c r="N214" s="3" t="s">
        <v>556</v>
      </c>
      <c r="O214" s="1"/>
    </row>
    <row r="215" spans="1:15" x14ac:dyDescent="0.25">
      <c r="A215" s="2" t="s">
        <v>582</v>
      </c>
      <c r="B215" s="1" t="s">
        <v>394</v>
      </c>
      <c r="C215" s="1" t="s">
        <v>583</v>
      </c>
      <c r="D215" s="1" t="s">
        <v>584</v>
      </c>
      <c r="E215" s="1" t="str">
        <f>VLOOKUP(Table1[[#This Row],[Navn DK]],product_nodes_new_id!A:C,3,FALSE)</f>
        <v>0ad3c323-5f1d-4260-8a28-36fb81b6fe6d</v>
      </c>
      <c r="F215" s="1">
        <v>3.87499779812787E-3</v>
      </c>
      <c r="G215" s="1">
        <v>0</v>
      </c>
      <c r="H215" s="1">
        <v>0</v>
      </c>
      <c r="I215" s="1">
        <v>0</v>
      </c>
      <c r="J215" s="1">
        <v>1</v>
      </c>
      <c r="K215" s="1" t="s">
        <v>17</v>
      </c>
      <c r="L215" s="1">
        <v>1100</v>
      </c>
      <c r="M215" s="1" t="s">
        <v>69</v>
      </c>
      <c r="N215" s="3" t="s">
        <v>585</v>
      </c>
      <c r="O215" s="1"/>
    </row>
    <row r="216" spans="1:15" x14ac:dyDescent="0.25">
      <c r="A216" s="2" t="s">
        <v>539</v>
      </c>
      <c r="B216" s="1" t="s">
        <v>394</v>
      </c>
      <c r="C216" s="1" t="s">
        <v>540</v>
      </c>
      <c r="D216" s="1" t="s">
        <v>541</v>
      </c>
      <c r="E216" s="1" t="str">
        <f>VLOOKUP(Table1[[#This Row],[Navn DK]],product_nodes_new_id!A:C,3,FALSE)</f>
        <v>f9348fa1-a3d1-4713-bfb3-2727da006812</v>
      </c>
      <c r="F216" s="1">
        <v>0.347658712778315</v>
      </c>
      <c r="G216" s="1">
        <v>3.38399008267945E-3</v>
      </c>
      <c r="H216" s="1">
        <v>0</v>
      </c>
      <c r="I216" s="1">
        <v>-1.15342884671582E-3</v>
      </c>
      <c r="J216" s="1">
        <v>1</v>
      </c>
      <c r="K216" s="1" t="s">
        <v>17</v>
      </c>
      <c r="L216" s="1">
        <v>1</v>
      </c>
      <c r="M216" s="1" t="s">
        <v>18</v>
      </c>
      <c r="N216" s="3" t="s">
        <v>1573</v>
      </c>
      <c r="O216" s="1"/>
    </row>
    <row r="217" spans="1:15" x14ac:dyDescent="0.25">
      <c r="A217" s="2" t="s">
        <v>1106</v>
      </c>
      <c r="B217" s="1" t="s">
        <v>394</v>
      </c>
      <c r="C217" s="1" t="s">
        <v>1107</v>
      </c>
      <c r="D217" s="1" t="s">
        <v>1108</v>
      </c>
      <c r="E217" s="1" t="str">
        <f>VLOOKUP(Table1[[#This Row],[Navn DK]],product_nodes_new_id!A:C,3,FALSE)</f>
        <v>a86faa9f-4034-4567-bd35-216bb8e902d7</v>
      </c>
      <c r="F217" s="1">
        <v>9.6236756979976104</v>
      </c>
      <c r="G217" s="1">
        <v>6.7679801653588996</v>
      </c>
      <c r="H217" s="1">
        <v>0</v>
      </c>
      <c r="I217" s="1">
        <v>-2.3068576934316498</v>
      </c>
      <c r="J217" s="1">
        <v>1</v>
      </c>
      <c r="K217" s="1" t="s">
        <v>68</v>
      </c>
      <c r="L217" s="1">
        <v>2000</v>
      </c>
      <c r="M217" s="1" t="s">
        <v>69</v>
      </c>
      <c r="N217" s="3" t="s">
        <v>1660</v>
      </c>
      <c r="O217" s="1"/>
    </row>
    <row r="218" spans="1:15" x14ac:dyDescent="0.25">
      <c r="A218" s="2" t="s">
        <v>931</v>
      </c>
      <c r="B218" s="1" t="s">
        <v>394</v>
      </c>
      <c r="C218" s="1" t="s">
        <v>932</v>
      </c>
      <c r="D218" s="1" t="s">
        <v>933</v>
      </c>
      <c r="E218" s="1" t="str">
        <f>VLOOKUP(Table1[[#This Row],[Navn DK]],product_nodes_new_id!A:C,3,FALSE)</f>
        <v>dbb03e81-90f7-41c9-b345-f66c6a595030</v>
      </c>
      <c r="F218" s="1">
        <v>0.46744746300071899</v>
      </c>
      <c r="G218" s="1">
        <v>1.8237319909737399</v>
      </c>
      <c r="H218" s="1">
        <v>0</v>
      </c>
      <c r="I218" s="1">
        <v>-1.74988068356179E-2</v>
      </c>
      <c r="J218" s="1">
        <v>1</v>
      </c>
      <c r="K218" s="1" t="s">
        <v>24</v>
      </c>
      <c r="L218" s="1">
        <v>14</v>
      </c>
      <c r="M218" s="1" t="s">
        <v>25</v>
      </c>
      <c r="N218" s="3" t="s">
        <v>934</v>
      </c>
      <c r="O218" s="1"/>
    </row>
    <row r="219" spans="1:15" x14ac:dyDescent="0.25">
      <c r="A219" s="2" t="s">
        <v>1191</v>
      </c>
      <c r="B219" s="1" t="s">
        <v>394</v>
      </c>
      <c r="C219" s="1" t="s">
        <v>1192</v>
      </c>
      <c r="D219" s="1" t="s">
        <v>1193</v>
      </c>
      <c r="E219" s="1" t="str">
        <f>VLOOKUP(Table1[[#This Row],[Navn DK]],product_nodes_new_id!A:C,3,FALSE)</f>
        <v>5aaa799d-9870-4ea6-ad6e-91be96c98226</v>
      </c>
      <c r="F219" s="1">
        <v>98.197357873702501</v>
      </c>
      <c r="G219" s="1">
        <v>2.8958422768833199</v>
      </c>
      <c r="H219" s="1">
        <v>0</v>
      </c>
      <c r="I219" s="1">
        <v>-1.1249232965754301</v>
      </c>
      <c r="J219" s="1">
        <v>1</v>
      </c>
      <c r="K219" s="1" t="s">
        <v>68</v>
      </c>
      <c r="L219" s="1">
        <v>900</v>
      </c>
      <c r="M219" s="1" t="s">
        <v>69</v>
      </c>
      <c r="N219" s="3" t="s">
        <v>1675</v>
      </c>
      <c r="O219" s="1"/>
    </row>
    <row r="220" spans="1:15" x14ac:dyDescent="0.25">
      <c r="A220" s="2" t="s">
        <v>797</v>
      </c>
      <c r="B220" s="1" t="s">
        <v>394</v>
      </c>
      <c r="C220" s="1" t="s">
        <v>798</v>
      </c>
      <c r="D220" s="1" t="s">
        <v>799</v>
      </c>
      <c r="E220" s="1" t="str">
        <f>VLOOKUP(Table1[[#This Row],[Navn DK]],product_nodes_new_id!A:C,3,FALSE)</f>
        <v>027e23fa-e622-462d-b6de-9d8e2b874788</v>
      </c>
      <c r="F220" s="1">
        <v>25.349972943727</v>
      </c>
      <c r="G220" s="1">
        <v>0.40891824398623799</v>
      </c>
      <c r="H220" s="1">
        <v>0</v>
      </c>
      <c r="I220" s="1">
        <v>-6.7934847171945506E-2</v>
      </c>
      <c r="J220" s="1">
        <v>1</v>
      </c>
      <c r="K220" s="1" t="s">
        <v>159</v>
      </c>
      <c r="L220" s="1">
        <v>51</v>
      </c>
      <c r="M220" s="1" t="s">
        <v>160</v>
      </c>
      <c r="N220" s="3" t="s">
        <v>1625</v>
      </c>
      <c r="O220" s="1"/>
    </row>
    <row r="221" spans="1:15" x14ac:dyDescent="0.25">
      <c r="A221" s="2" t="s">
        <v>772</v>
      </c>
      <c r="B221" s="1" t="s">
        <v>394</v>
      </c>
      <c r="C221" s="1" t="s">
        <v>773</v>
      </c>
      <c r="D221" s="1" t="s">
        <v>774</v>
      </c>
      <c r="E221" s="1" t="str">
        <f>VLOOKUP(Table1[[#This Row],[Navn DK]],product_nodes_new_id!A:C,3,FALSE)</f>
        <v>92bb575c-4159-4b0b-a907-27eec5ed9942</v>
      </c>
      <c r="F221" s="1">
        <v>49.868389372211098</v>
      </c>
      <c r="G221" s="1">
        <v>1.1385566793342301</v>
      </c>
      <c r="H221" s="1">
        <v>0</v>
      </c>
      <c r="I221" s="1">
        <v>-0.18915192741992701</v>
      </c>
      <c r="J221" s="1">
        <v>1</v>
      </c>
      <c r="K221" s="1" t="s">
        <v>159</v>
      </c>
      <c r="L221" s="1">
        <v>142</v>
      </c>
      <c r="M221" s="1" t="s">
        <v>160</v>
      </c>
      <c r="N221" s="3" t="s">
        <v>1622</v>
      </c>
      <c r="O221" s="1"/>
    </row>
    <row r="222" spans="1:15" x14ac:dyDescent="0.25">
      <c r="A222" s="2" t="s">
        <v>1069</v>
      </c>
      <c r="B222" s="1" t="s">
        <v>394</v>
      </c>
      <c r="C222" s="1" t="s">
        <v>1070</v>
      </c>
      <c r="D222" s="1" t="s">
        <v>1071</v>
      </c>
      <c r="E222" s="1" t="str">
        <f>VLOOKUP(Table1[[#This Row],[Navn DK]],product_nodes_new_id!A:C,3,FALSE)</f>
        <v>e56e4dc4-9ae1-40a8-948d-66cf6affcd5a</v>
      </c>
      <c r="F222" s="1">
        <v>91.759423925920998</v>
      </c>
      <c r="G222" s="1">
        <v>4.0607880992153396</v>
      </c>
      <c r="H222" s="1">
        <v>0</v>
      </c>
      <c r="I222" s="1">
        <v>-1.3841146160589901</v>
      </c>
      <c r="J222" s="1">
        <v>1</v>
      </c>
      <c r="K222" s="1" t="s">
        <v>68</v>
      </c>
      <c r="L222" s="1">
        <v>1200</v>
      </c>
      <c r="M222" s="1" t="s">
        <v>69</v>
      </c>
      <c r="N222" s="3" t="s">
        <v>1653</v>
      </c>
      <c r="O222" s="1"/>
    </row>
    <row r="223" spans="1:15" x14ac:dyDescent="0.25">
      <c r="A223" s="2" t="s">
        <v>33</v>
      </c>
      <c r="B223" s="1" t="s">
        <v>14</v>
      </c>
      <c r="C223" s="1" t="s">
        <v>22</v>
      </c>
      <c r="D223" s="1" t="s">
        <v>34</v>
      </c>
      <c r="E223" s="1" t="str">
        <f>VLOOKUP(Table1[[#This Row],[Navn DK]],product_nodes_new_id!A:C,3,FALSE)</f>
        <v>f9104c97-2df6-43d1-850e-5817e8cf59a7</v>
      </c>
      <c r="F223" s="1">
        <v>26.8</v>
      </c>
      <c r="G223" s="1">
        <v>0.48599999999999999</v>
      </c>
      <c r="H223" s="1">
        <v>0.35599999999999998</v>
      </c>
      <c r="I223" s="1">
        <v>-0.36299999999999999</v>
      </c>
      <c r="J223" s="1">
        <v>1</v>
      </c>
      <c r="K223" s="1" t="s">
        <v>24</v>
      </c>
      <c r="L223" s="1">
        <v>161.5</v>
      </c>
      <c r="M223" s="1" t="s">
        <v>25</v>
      </c>
      <c r="N223" s="3" t="s">
        <v>35</v>
      </c>
      <c r="O223" s="1"/>
    </row>
    <row r="224" spans="1:15" x14ac:dyDescent="0.25">
      <c r="A224" s="2" t="s">
        <v>36</v>
      </c>
      <c r="B224" s="1" t="s">
        <v>14</v>
      </c>
      <c r="C224" s="1" t="s">
        <v>22</v>
      </c>
      <c r="D224" s="1" t="s">
        <v>37</v>
      </c>
      <c r="E224" s="1" t="str">
        <f>VLOOKUP(Table1[[#This Row],[Navn DK]],product_nodes_new_id!A:C,3,FALSE)</f>
        <v>f52a89ad-53b5-4a9b-b5cb-2356ec6af519</v>
      </c>
      <c r="F224" s="1">
        <v>38.6</v>
      </c>
      <c r="G224" s="1">
        <v>0.74399999999999999</v>
      </c>
      <c r="H224" s="1">
        <v>0.53800000000000003</v>
      </c>
      <c r="I224" s="1">
        <v>-0.621</v>
      </c>
      <c r="J224" s="1">
        <v>1</v>
      </c>
      <c r="K224" s="1" t="s">
        <v>24</v>
      </c>
      <c r="L224" s="1">
        <v>242.4</v>
      </c>
      <c r="M224" s="1" t="s">
        <v>25</v>
      </c>
      <c r="N224" s="3" t="s">
        <v>35</v>
      </c>
      <c r="O224" s="1"/>
    </row>
    <row r="225" spans="1:15" x14ac:dyDescent="0.25">
      <c r="A225" s="2" t="s">
        <v>51</v>
      </c>
      <c r="B225" s="1" t="s">
        <v>14</v>
      </c>
      <c r="C225" s="1" t="s">
        <v>22</v>
      </c>
      <c r="D225" s="1" t="s">
        <v>52</v>
      </c>
      <c r="E225" s="1" t="str">
        <f>VLOOKUP(Table1[[#This Row],[Navn DK]],product_nodes_new_id!A:C,3,FALSE)</f>
        <v>626cc1a4-39d3-4d7f-80b7-5e6c69281510</v>
      </c>
      <c r="F225" s="1">
        <v>63</v>
      </c>
      <c r="G225" s="1">
        <v>1.1499999999999999</v>
      </c>
      <c r="H225" s="1">
        <v>0.83599999999999997</v>
      </c>
      <c r="I225" s="1">
        <v>-0.93100000000000005</v>
      </c>
      <c r="J225" s="1">
        <v>1</v>
      </c>
      <c r="K225" s="1" t="s">
        <v>24</v>
      </c>
      <c r="L225" s="1">
        <v>394.8</v>
      </c>
      <c r="M225" s="1" t="s">
        <v>25</v>
      </c>
      <c r="N225" s="3" t="s">
        <v>35</v>
      </c>
      <c r="O225" s="1"/>
    </row>
    <row r="226" spans="1:15" x14ac:dyDescent="0.25">
      <c r="A226" s="2" t="s">
        <v>317</v>
      </c>
      <c r="B226" s="1" t="s">
        <v>130</v>
      </c>
      <c r="C226" s="1" t="s">
        <v>22</v>
      </c>
      <c r="D226" s="1" t="s">
        <v>318</v>
      </c>
      <c r="E226" s="1" t="str">
        <f>VLOOKUP(Table1[[#This Row],[Navn DK]],product_nodes_new_id!A:C,3,FALSE)</f>
        <v>a1e9d24d-e73a-41da-9c42-098ef26a970a</v>
      </c>
      <c r="F226" s="1">
        <v>102.74000000000001</v>
      </c>
      <c r="G226" s="1">
        <v>0</v>
      </c>
      <c r="H226" s="1">
        <v>0.55220000000000002</v>
      </c>
      <c r="I226" s="1">
        <v>-41.4</v>
      </c>
      <c r="J226" s="1">
        <v>1</v>
      </c>
      <c r="K226" s="1" t="s">
        <v>68</v>
      </c>
      <c r="L226" s="1">
        <v>0.245</v>
      </c>
      <c r="M226" s="1" t="s">
        <v>319</v>
      </c>
      <c r="N226" s="3" t="s">
        <v>133</v>
      </c>
      <c r="O226" s="1"/>
    </row>
    <row r="227" spans="1:15" x14ac:dyDescent="0.25">
      <c r="A227" s="2" t="s">
        <v>320</v>
      </c>
      <c r="B227" s="1" t="s">
        <v>130</v>
      </c>
      <c r="C227" s="1" t="s">
        <v>22</v>
      </c>
      <c r="D227" s="1" t="s">
        <v>321</v>
      </c>
      <c r="E227" s="1" t="str">
        <f>VLOOKUP(Table1[[#This Row],[Navn DK]],product_nodes_new_id!A:C,3,FALSE)</f>
        <v>b66c280c-b79a-468d-ad9e-1bd2ade674ad</v>
      </c>
      <c r="F227" s="1">
        <v>119.31700000000001</v>
      </c>
      <c r="G227" s="1">
        <v>0</v>
      </c>
      <c r="H227" s="1">
        <v>0.64349999999999996</v>
      </c>
      <c r="I227" s="1">
        <v>-48.330000000000005</v>
      </c>
      <c r="J227" s="1">
        <v>1</v>
      </c>
      <c r="K227" s="1" t="s">
        <v>68</v>
      </c>
      <c r="L227" s="1">
        <v>0.28499999999999998</v>
      </c>
      <c r="M227" s="1" t="s">
        <v>319</v>
      </c>
      <c r="N227" s="3" t="s">
        <v>133</v>
      </c>
      <c r="O227" s="1"/>
    </row>
    <row r="228" spans="1:15" x14ac:dyDescent="0.25">
      <c r="A228" s="2" t="s">
        <v>66</v>
      </c>
      <c r="B228" s="1" t="s">
        <v>14</v>
      </c>
      <c r="C228" s="1" t="s">
        <v>22</v>
      </c>
      <c r="D228" s="1" t="s">
        <v>67</v>
      </c>
      <c r="E228" s="1" t="str">
        <f>VLOOKUP(Table1[[#This Row],[Navn DK]],product_nodes_new_id!A:C,3,FALSE)</f>
        <v>9fdab9b7-b657-4bcc-bc0a-ad94c9f78a87</v>
      </c>
      <c r="F228" s="1">
        <v>121</v>
      </c>
      <c r="G228" s="1">
        <v>0.83599999999999997</v>
      </c>
      <c r="H228" s="1">
        <v>0.61799999999999999</v>
      </c>
      <c r="I228" s="1">
        <v>-0.57199999999999995</v>
      </c>
      <c r="J228" s="1">
        <v>1</v>
      </c>
      <c r="K228" s="1" t="s">
        <v>68</v>
      </c>
      <c r="L228" s="1">
        <v>327</v>
      </c>
      <c r="M228" s="1" t="s">
        <v>69</v>
      </c>
      <c r="N228" s="3" t="s">
        <v>70</v>
      </c>
      <c r="O228" s="1"/>
    </row>
    <row r="229" spans="1:15" x14ac:dyDescent="0.25">
      <c r="A229" s="2" t="s">
        <v>71</v>
      </c>
      <c r="B229" s="1" t="s">
        <v>14</v>
      </c>
      <c r="C229" s="1" t="s">
        <v>22</v>
      </c>
      <c r="D229" s="1" t="s">
        <v>72</v>
      </c>
      <c r="E229" s="1" t="str">
        <f>VLOOKUP(Table1[[#This Row],[Navn DK]],product_nodes_new_id!A:C,3,FALSE)</f>
        <v>1e48decb-35c9-4c04-b7d2-4a6cadd1a813</v>
      </c>
      <c r="F229" s="1">
        <v>130</v>
      </c>
      <c r="G229" s="1">
        <v>0.96099999999999997</v>
      </c>
      <c r="H229" s="1">
        <v>6.19</v>
      </c>
      <c r="I229" s="1">
        <v>-4.3899999999999997</v>
      </c>
      <c r="J229" s="1">
        <v>1</v>
      </c>
      <c r="K229" s="1" t="s">
        <v>68</v>
      </c>
      <c r="L229" s="1">
        <v>375</v>
      </c>
      <c r="M229" s="1" t="s">
        <v>69</v>
      </c>
      <c r="N229" s="3" t="s">
        <v>70</v>
      </c>
      <c r="O229" s="1"/>
    </row>
    <row r="230" spans="1:15" x14ac:dyDescent="0.25">
      <c r="A230" s="2" t="s">
        <v>91</v>
      </c>
      <c r="B230" s="1" t="s">
        <v>14</v>
      </c>
      <c r="C230" s="1" t="s">
        <v>22</v>
      </c>
      <c r="D230" s="1" t="s">
        <v>92</v>
      </c>
      <c r="E230" s="1" t="str">
        <f>VLOOKUP(Table1[[#This Row],[Navn DK]],product_nodes_new_id!A:C,3,FALSE)</f>
        <v>81f58963-c243-4c5b-8b64-38dd51ca443e</v>
      </c>
      <c r="F230" s="1">
        <v>194</v>
      </c>
      <c r="G230" s="1">
        <v>1.6</v>
      </c>
      <c r="H230" s="1">
        <v>1.19</v>
      </c>
      <c r="I230" s="1">
        <v>-1.1000000000000001</v>
      </c>
      <c r="J230" s="1">
        <v>1</v>
      </c>
      <c r="K230" s="1" t="s">
        <v>68</v>
      </c>
      <c r="L230" s="1">
        <v>600</v>
      </c>
      <c r="M230" s="1" t="s">
        <v>69</v>
      </c>
      <c r="N230" s="3" t="s">
        <v>70</v>
      </c>
      <c r="O230" s="1"/>
    </row>
    <row r="231" spans="1:15" x14ac:dyDescent="0.25">
      <c r="A231" s="2" t="s">
        <v>389</v>
      </c>
      <c r="B231" s="1" t="s">
        <v>130</v>
      </c>
      <c r="C231" s="1" t="s">
        <v>22</v>
      </c>
      <c r="D231" s="1" t="s">
        <v>390</v>
      </c>
      <c r="E231" s="1" t="str">
        <f>VLOOKUP(Table1[[#This Row],[Navn DK]],product_nodes_new_id!A:C,3,FALSE)</f>
        <v>c113aaaa-6466-46d2-b647-2d87d63b0671</v>
      </c>
      <c r="F231" s="1">
        <v>4125</v>
      </c>
      <c r="G231" s="1">
        <v>24.200000000000003</v>
      </c>
      <c r="H231" s="1">
        <v>0.94490000000000007</v>
      </c>
      <c r="I231" s="1">
        <v>-1503</v>
      </c>
      <c r="J231" s="1">
        <v>1</v>
      </c>
      <c r="K231" s="1" t="s">
        <v>339</v>
      </c>
      <c r="L231" s="1">
        <v>7850</v>
      </c>
      <c r="M231" s="1" t="s">
        <v>69</v>
      </c>
      <c r="N231" s="3" t="s">
        <v>133</v>
      </c>
      <c r="O231" s="1"/>
    </row>
    <row r="232" spans="1:15" x14ac:dyDescent="0.25">
      <c r="A232" s="2" t="s">
        <v>535</v>
      </c>
      <c r="B232" s="1" t="s">
        <v>394</v>
      </c>
      <c r="C232" s="1" t="s">
        <v>536</v>
      </c>
      <c r="D232" s="1" t="s">
        <v>537</v>
      </c>
      <c r="E232" s="1" t="str">
        <f>VLOOKUP(Table1[[#This Row],[Navn DK]],product_nodes_new_id!A:C,3,FALSE)</f>
        <v>6f59f917-6c9e-4e0d-8594-6cbb418e0436</v>
      </c>
      <c r="F232" s="1">
        <v>0.100682742334716</v>
      </c>
      <c r="G232" s="1">
        <v>0</v>
      </c>
      <c r="H232" s="1">
        <v>1.6092731618195199E-2</v>
      </c>
      <c r="I232" s="1">
        <v>0</v>
      </c>
      <c r="J232" s="1">
        <v>1</v>
      </c>
      <c r="K232" s="1" t="s">
        <v>17</v>
      </c>
      <c r="L232" s="1">
        <v>1000</v>
      </c>
      <c r="M232" s="1" t="s">
        <v>69</v>
      </c>
      <c r="N232" s="3" t="s">
        <v>538</v>
      </c>
      <c r="O232" s="1"/>
    </row>
    <row r="233" spans="1:15" x14ac:dyDescent="0.25">
      <c r="A233" s="2" t="s">
        <v>85</v>
      </c>
      <c r="B233" s="1" t="s">
        <v>14</v>
      </c>
      <c r="C233" s="1" t="s">
        <v>22</v>
      </c>
      <c r="D233" s="1" t="s">
        <v>86</v>
      </c>
      <c r="E233" s="1" t="str">
        <f>VLOOKUP(Table1[[#This Row],[Navn DK]],product_nodes_new_id!A:C,3,FALSE)</f>
        <v>4a048c0e-33cf-4a2d-96e9-a51ec72281a2</v>
      </c>
      <c r="F233" s="1">
        <v>-610</v>
      </c>
      <c r="G233" s="1">
        <v>743</v>
      </c>
      <c r="H233" s="1">
        <v>0</v>
      </c>
      <c r="I233" s="1">
        <v>-395</v>
      </c>
      <c r="J233" s="1">
        <v>1</v>
      </c>
      <c r="K233" s="1" t="s">
        <v>68</v>
      </c>
      <c r="L233" s="1">
        <v>500</v>
      </c>
      <c r="M233" s="1" t="s">
        <v>69</v>
      </c>
      <c r="N233" s="3" t="s">
        <v>87</v>
      </c>
      <c r="O233" s="1"/>
    </row>
    <row r="234" spans="1:15" x14ac:dyDescent="0.25">
      <c r="A234" s="2" t="s">
        <v>981</v>
      </c>
      <c r="B234" s="1" t="s">
        <v>394</v>
      </c>
      <c r="C234" s="1" t="s">
        <v>982</v>
      </c>
      <c r="D234" s="1" t="s">
        <v>983</v>
      </c>
      <c r="E234" s="1" t="str">
        <f>VLOOKUP(Table1[[#This Row],[Navn DK]],product_nodes_new_id!A:C,3,FALSE)</f>
        <v>cf5b54cd-4fc4-4fe1-9716-024d3cc47e48</v>
      </c>
      <c r="F234" s="1">
        <v>4.0785580428841701</v>
      </c>
      <c r="G234" s="1">
        <v>4.4425090997793797</v>
      </c>
      <c r="H234" s="1">
        <v>0</v>
      </c>
      <c r="I234" s="1">
        <v>-1.36016976730438</v>
      </c>
      <c r="J234" s="1">
        <v>1</v>
      </c>
      <c r="K234" s="1" t="s">
        <v>24</v>
      </c>
      <c r="L234" s="1">
        <v>3</v>
      </c>
      <c r="M234" s="1" t="s">
        <v>25</v>
      </c>
      <c r="N234" s="3" t="s">
        <v>984</v>
      </c>
      <c r="O234" s="1"/>
    </row>
    <row r="235" spans="1:15" x14ac:dyDescent="0.25">
      <c r="A235" s="2" t="s">
        <v>1339</v>
      </c>
      <c r="B235" s="1" t="s">
        <v>394</v>
      </c>
      <c r="C235" s="1" t="s">
        <v>1340</v>
      </c>
      <c r="D235" s="1" t="s">
        <v>1341</v>
      </c>
      <c r="E235" s="1" t="str">
        <f>VLOOKUP(Table1[[#This Row],[Navn DK]],product_nodes_new_id!A:C,3,FALSE)</f>
        <v>b8e22e42-3264-47e8-beb9-228a40947913</v>
      </c>
      <c r="F235" s="1">
        <v>272.546798420453</v>
      </c>
      <c r="G235" s="1">
        <v>0</v>
      </c>
      <c r="H235" s="1">
        <v>22.450024933503101</v>
      </c>
      <c r="I235" s="1">
        <v>-32.624367314193996</v>
      </c>
      <c r="J235" s="1">
        <v>1</v>
      </c>
      <c r="K235" s="1" t="s">
        <v>123</v>
      </c>
      <c r="L235" s="1">
        <v>23.3</v>
      </c>
      <c r="M235" s="1" t="s">
        <v>124</v>
      </c>
      <c r="N235" s="3" t="s">
        <v>1342</v>
      </c>
      <c r="O235" s="1"/>
    </row>
    <row r="236" spans="1:15" x14ac:dyDescent="0.25">
      <c r="A236" s="2" t="s">
        <v>696</v>
      </c>
      <c r="B236" s="1" t="s">
        <v>394</v>
      </c>
      <c r="C236" s="1" t="s">
        <v>697</v>
      </c>
      <c r="D236" s="1" t="s">
        <v>698</v>
      </c>
      <c r="E236" s="1" t="str">
        <f>VLOOKUP(Table1[[#This Row],[Navn DK]],product_nodes_new_id!A:C,3,FALSE)</f>
        <v>274ad3be-5f8f-48fc-9733-36b142f1dbc3</v>
      </c>
      <c r="F236" s="1">
        <v>10.9935647817952</v>
      </c>
      <c r="G236" s="1">
        <v>0</v>
      </c>
      <c r="H236" s="1">
        <v>12.1478024003036</v>
      </c>
      <c r="I236" s="1">
        <v>0</v>
      </c>
      <c r="J236" s="1">
        <v>1</v>
      </c>
      <c r="K236" s="1" t="s">
        <v>17</v>
      </c>
      <c r="L236" s="1">
        <v>1</v>
      </c>
      <c r="M236" s="1" t="s">
        <v>18</v>
      </c>
      <c r="N236" s="3" t="s">
        <v>1610</v>
      </c>
      <c r="O236" s="1"/>
    </row>
    <row r="237" spans="1:15" x14ac:dyDescent="0.25">
      <c r="A237" s="2" t="s">
        <v>1489</v>
      </c>
      <c r="B237" s="1" t="s">
        <v>394</v>
      </c>
      <c r="C237" s="1" t="s">
        <v>1490</v>
      </c>
      <c r="D237" s="1" t="s">
        <v>1491</v>
      </c>
      <c r="E237" s="1" t="str">
        <f>VLOOKUP(Table1[[#This Row],[Navn DK]],product_nodes_new_id!A:C,3,FALSE)</f>
        <v>6cd6b910-66cb-46b3-aeae-80164b59a217</v>
      </c>
      <c r="F237" s="1">
        <v>3.5379834786434601</v>
      </c>
      <c r="G237" s="1">
        <v>0</v>
      </c>
      <c r="H237" s="1">
        <v>8.8522555883668502E-2</v>
      </c>
      <c r="I237" s="1">
        <v>0</v>
      </c>
      <c r="J237" s="1">
        <v>1</v>
      </c>
      <c r="K237" s="1" t="s">
        <v>24</v>
      </c>
      <c r="L237" s="1">
        <v>2.4</v>
      </c>
      <c r="M237" s="1" t="s">
        <v>25</v>
      </c>
      <c r="N237" s="3" t="s">
        <v>1492</v>
      </c>
      <c r="O237" s="1"/>
    </row>
    <row r="238" spans="1:15" x14ac:dyDescent="0.25">
      <c r="A238" s="2" t="s">
        <v>1424</v>
      </c>
      <c r="B238" s="1" t="s">
        <v>394</v>
      </c>
      <c r="C238" s="1" t="s">
        <v>1425</v>
      </c>
      <c r="D238" s="1" t="s">
        <v>1426</v>
      </c>
      <c r="E238" s="1" t="str">
        <f>VLOOKUP(Table1[[#This Row],[Navn DK]],product_nodes_new_id!A:C,3,FALSE)</f>
        <v>893e638d-8e8e-4275-bef9-8c75b5626367</v>
      </c>
      <c r="F238" s="1">
        <v>2149.1156311895102</v>
      </c>
      <c r="G238" s="1">
        <v>53.679970139498302</v>
      </c>
      <c r="H238" s="1">
        <v>0.68080804526656702</v>
      </c>
      <c r="I238" s="1">
        <v>-996.09567149749103</v>
      </c>
      <c r="J238" s="1">
        <v>1</v>
      </c>
      <c r="K238" s="1" t="s">
        <v>123</v>
      </c>
      <c r="L238" s="1">
        <v>773</v>
      </c>
      <c r="M238" s="1" t="s">
        <v>124</v>
      </c>
      <c r="N238" s="3" t="s">
        <v>1427</v>
      </c>
      <c r="O238" s="1"/>
    </row>
    <row r="239" spans="1:15" x14ac:dyDescent="0.25">
      <c r="A239" s="2" t="s">
        <v>1416</v>
      </c>
      <c r="B239" s="1" t="s">
        <v>394</v>
      </c>
      <c r="C239" s="1" t="s">
        <v>1417</v>
      </c>
      <c r="D239" s="1" t="s">
        <v>1418</v>
      </c>
      <c r="E239" s="1" t="str">
        <f>VLOOKUP(Table1[[#This Row],[Navn DK]],product_nodes_new_id!A:C,3,FALSE)</f>
        <v>fd47aa6d-7bbb-492e-a1d3-2061ebcca602</v>
      </c>
      <c r="F239" s="1">
        <v>1737.16997792916</v>
      </c>
      <c r="G239" s="1">
        <v>0</v>
      </c>
      <c r="H239" s="1">
        <v>0.46616341982639697</v>
      </c>
      <c r="I239" s="1">
        <v>-687.86507914763297</v>
      </c>
      <c r="J239" s="1">
        <v>1</v>
      </c>
      <c r="K239" s="1" t="s">
        <v>123</v>
      </c>
      <c r="L239" s="1">
        <v>648</v>
      </c>
      <c r="M239" s="1" t="s">
        <v>124</v>
      </c>
      <c r="N239" s="3" t="s">
        <v>1419</v>
      </c>
      <c r="O239" s="1"/>
    </row>
    <row r="240" spans="1:15" x14ac:dyDescent="0.25">
      <c r="A240" s="2" t="s">
        <v>1252</v>
      </c>
      <c r="B240" s="1" t="s">
        <v>394</v>
      </c>
      <c r="C240" s="1" t="s">
        <v>1253</v>
      </c>
      <c r="D240" s="1" t="s">
        <v>1254</v>
      </c>
      <c r="E240" s="1" t="str">
        <f>VLOOKUP(Table1[[#This Row],[Navn DK]],product_nodes_new_id!A:C,3,FALSE)</f>
        <v>f1752104-e7a9-431e-9292-4805e8537600</v>
      </c>
      <c r="F240" s="1">
        <v>3103.2715036018099</v>
      </c>
      <c r="G240" s="1">
        <v>77.345333319277202</v>
      </c>
      <c r="H240" s="1">
        <v>0.98284181095359602</v>
      </c>
      <c r="I240" s="1">
        <v>-1438.02729805646</v>
      </c>
      <c r="J240" s="1">
        <v>1</v>
      </c>
      <c r="K240" s="1" t="s">
        <v>123</v>
      </c>
      <c r="L240" s="1">
        <v>1117</v>
      </c>
      <c r="M240" s="1" t="s">
        <v>124</v>
      </c>
      <c r="N240" s="3" t="s">
        <v>1255</v>
      </c>
      <c r="O240" s="1"/>
    </row>
    <row r="241" spans="1:15" x14ac:dyDescent="0.25">
      <c r="A241" s="2" t="s">
        <v>1248</v>
      </c>
      <c r="B241" s="1" t="s">
        <v>394</v>
      </c>
      <c r="C241" s="1" t="s">
        <v>1249</v>
      </c>
      <c r="D241" s="1" t="s">
        <v>1250</v>
      </c>
      <c r="E241" s="1" t="str">
        <f>VLOOKUP(Table1[[#This Row],[Navn DK]],product_nodes_new_id!A:C,3,FALSE)</f>
        <v>75b04585-8fba-43a3-9c2f-51913f1f232a</v>
      </c>
      <c r="F241" s="1">
        <v>2790.2035166738701</v>
      </c>
      <c r="G241" s="1">
        <v>0</v>
      </c>
      <c r="H241" s="1">
        <v>0.91525383541523997</v>
      </c>
      <c r="I241" s="1">
        <v>-1350.5374406523299</v>
      </c>
      <c r="J241" s="1">
        <v>1</v>
      </c>
      <c r="K241" s="1" t="s">
        <v>123</v>
      </c>
      <c r="L241" s="1">
        <v>1040</v>
      </c>
      <c r="M241" s="1" t="s">
        <v>124</v>
      </c>
      <c r="N241" s="3" t="s">
        <v>1251</v>
      </c>
      <c r="O241" s="1"/>
    </row>
    <row r="242" spans="1:15" x14ac:dyDescent="0.25">
      <c r="A242" s="2" t="s">
        <v>1280</v>
      </c>
      <c r="B242" s="1" t="s">
        <v>394</v>
      </c>
      <c r="C242" s="1" t="s">
        <v>1281</v>
      </c>
      <c r="D242" s="1" t="s">
        <v>1282</v>
      </c>
      <c r="E242" s="1" t="str">
        <f>VLOOKUP(Table1[[#This Row],[Navn DK]],product_nodes_new_id!A:C,3,FALSE)</f>
        <v>412dfa83-124c-40fb-9ce8-0a3b0282dc07</v>
      </c>
      <c r="F242" s="1">
        <v>3862.86672876187</v>
      </c>
      <c r="G242" s="1">
        <v>96.393064659099196</v>
      </c>
      <c r="H242" s="1">
        <v>1.2233071551736501</v>
      </c>
      <c r="I242" s="1">
        <v>-1789.8401837808799</v>
      </c>
      <c r="J242" s="1">
        <v>1</v>
      </c>
      <c r="K242" s="1" t="s">
        <v>123</v>
      </c>
      <c r="L242" s="1">
        <v>1390</v>
      </c>
      <c r="M242" s="1" t="s">
        <v>124</v>
      </c>
      <c r="N242" s="3" t="s">
        <v>1283</v>
      </c>
      <c r="O242" s="1"/>
    </row>
    <row r="243" spans="1:15" x14ac:dyDescent="0.25">
      <c r="A243" s="2" t="s">
        <v>1256</v>
      </c>
      <c r="B243" s="1" t="s">
        <v>394</v>
      </c>
      <c r="C243" s="1" t="s">
        <v>1257</v>
      </c>
      <c r="D243" s="1" t="s">
        <v>1258</v>
      </c>
      <c r="E243" s="1" t="str">
        <f>VLOOKUP(Table1[[#This Row],[Navn DK]],product_nodes_new_id!A:C,3,FALSE)</f>
        <v>5573c591-9b72-41a5-b3bf-f0dcc109ebaf</v>
      </c>
      <c r="F243" s="1">
        <v>3138.9789562581</v>
      </c>
      <c r="G243" s="1">
        <v>0</v>
      </c>
      <c r="H243" s="1">
        <v>1.02966056484215</v>
      </c>
      <c r="I243" s="1">
        <v>-1519.35462073387</v>
      </c>
      <c r="J243" s="1">
        <v>1</v>
      </c>
      <c r="K243" s="1" t="s">
        <v>123</v>
      </c>
      <c r="L243" s="1">
        <v>1170</v>
      </c>
      <c r="M243" s="1" t="s">
        <v>124</v>
      </c>
      <c r="N243" s="3" t="s">
        <v>1259</v>
      </c>
      <c r="O243" s="1"/>
    </row>
    <row r="244" spans="1:15" x14ac:dyDescent="0.25">
      <c r="A244" s="2" t="s">
        <v>701</v>
      </c>
      <c r="B244" s="1" t="s">
        <v>394</v>
      </c>
      <c r="C244" s="1" t="s">
        <v>702</v>
      </c>
      <c r="D244" s="1" t="s">
        <v>703</v>
      </c>
      <c r="E244" s="1" t="str">
        <f>VLOOKUP(Table1[[#This Row],[Navn DK]],product_nodes_new_id!A:C,3,FALSE)</f>
        <v>de25a9a0-9329-4e81-a011-584ede5214a0</v>
      </c>
      <c r="F244" s="1">
        <v>1.1146303558366299</v>
      </c>
      <c r="G244" s="1">
        <v>0</v>
      </c>
      <c r="H244" s="1">
        <v>0</v>
      </c>
      <c r="I244" s="1">
        <v>0</v>
      </c>
      <c r="J244" s="1">
        <v>1</v>
      </c>
      <c r="K244" s="1" t="s">
        <v>17</v>
      </c>
      <c r="L244" s="1">
        <v>1</v>
      </c>
      <c r="M244" s="1" t="s">
        <v>18</v>
      </c>
      <c r="N244" s="3" t="s">
        <v>704</v>
      </c>
      <c r="O244" s="1"/>
    </row>
    <row r="245" spans="1:15" x14ac:dyDescent="0.25">
      <c r="A245" s="2" t="s">
        <v>1025</v>
      </c>
      <c r="B245" s="1" t="s">
        <v>394</v>
      </c>
      <c r="C245" s="1" t="s">
        <v>1026</v>
      </c>
      <c r="D245" s="1" t="s">
        <v>1027</v>
      </c>
      <c r="E245" s="1" t="str">
        <f>VLOOKUP(Table1[[#This Row],[Navn DK]],product_nodes_new_id!A:C,3,FALSE)</f>
        <v>cd30b45f-1330-476f-8c19-8fcc4d9426b9</v>
      </c>
      <c r="F245" s="1">
        <v>15.588357422154999</v>
      </c>
      <c r="G245" s="1">
        <v>0.38438216441923201</v>
      </c>
      <c r="H245" s="1">
        <v>0</v>
      </c>
      <c r="I245" s="1">
        <v>-7.5048006947920007E-2</v>
      </c>
      <c r="J245" s="1">
        <v>1</v>
      </c>
      <c r="K245" s="1" t="s">
        <v>24</v>
      </c>
      <c r="L245" s="1">
        <v>52</v>
      </c>
      <c r="M245" s="1" t="s">
        <v>25</v>
      </c>
      <c r="N245" s="3" t="s">
        <v>1028</v>
      </c>
      <c r="O245" s="1"/>
    </row>
    <row r="246" spans="1:15" x14ac:dyDescent="0.25">
      <c r="A246" s="2" t="s">
        <v>672</v>
      </c>
      <c r="B246" s="1" t="s">
        <v>394</v>
      </c>
      <c r="C246" s="1" t="s">
        <v>673</v>
      </c>
      <c r="D246" s="1" t="s">
        <v>674</v>
      </c>
      <c r="E246" s="1" t="str">
        <f>VLOOKUP(Table1[[#This Row],[Navn DK]],product_nodes_new_id!A:C,3,FALSE)</f>
        <v>a2d8cf01-b3c0-4059-a529-7db0674937d4</v>
      </c>
      <c r="F246" s="1">
        <v>6.4700635456915299</v>
      </c>
      <c r="G246" s="1">
        <v>2.1110983931768699</v>
      </c>
      <c r="H246" s="1">
        <v>0</v>
      </c>
      <c r="I246" s="1">
        <v>-0.616815797467414</v>
      </c>
      <c r="J246" s="1">
        <v>1</v>
      </c>
      <c r="K246" s="1" t="s">
        <v>17</v>
      </c>
      <c r="L246" s="1">
        <v>10</v>
      </c>
      <c r="M246" s="1" t="s">
        <v>69</v>
      </c>
      <c r="N246" s="3" t="s">
        <v>1602</v>
      </c>
      <c r="O246" s="1"/>
    </row>
    <row r="247" spans="1:15" x14ac:dyDescent="0.25">
      <c r="A247" s="2" t="s">
        <v>428</v>
      </c>
      <c r="B247" s="1" t="s">
        <v>394</v>
      </c>
      <c r="C247" s="1" t="s">
        <v>429</v>
      </c>
      <c r="D247" s="1" t="s">
        <v>430</v>
      </c>
      <c r="E247" s="1" t="str">
        <f>VLOOKUP(Table1[[#This Row],[Navn DK]],product_nodes_new_id!A:C,3,FALSE)</f>
        <v>c69877db-7ef2-4eba-a5cf-ea8bf2cc1d47</v>
      </c>
      <c r="F247" s="1">
        <v>1.2957370579067</v>
      </c>
      <c r="G247" s="1">
        <v>0</v>
      </c>
      <c r="H247" s="1">
        <v>0</v>
      </c>
      <c r="I247" s="1">
        <v>1.3691980016388E-2</v>
      </c>
      <c r="J247" s="1">
        <v>1</v>
      </c>
      <c r="K247" s="1" t="s">
        <v>17</v>
      </c>
      <c r="L247" s="1">
        <v>8750</v>
      </c>
      <c r="M247" s="1" t="s">
        <v>69</v>
      </c>
      <c r="N247" s="3" t="s">
        <v>1548</v>
      </c>
      <c r="O247" s="1"/>
    </row>
    <row r="248" spans="1:15" x14ac:dyDescent="0.25">
      <c r="A248" s="2" t="s">
        <v>303</v>
      </c>
      <c r="B248" s="1" t="s">
        <v>130</v>
      </c>
      <c r="C248" s="1" t="s">
        <v>22</v>
      </c>
      <c r="D248" s="1" t="s">
        <v>304</v>
      </c>
      <c r="E248" s="1" t="str">
        <f>VLOOKUP(Table1[[#This Row],[Navn DK]],product_nodes_new_id!A:C,3,FALSE)</f>
        <v>0bbe70cb-82a3-44a1-8023-dbfd4eb66c80</v>
      </c>
      <c r="F248" s="1">
        <v>4.4759000000000002</v>
      </c>
      <c r="G248" s="1">
        <v>0</v>
      </c>
      <c r="H248" s="1">
        <v>4.9234900000000005E-2</v>
      </c>
      <c r="I248" s="1">
        <v>-0.14535719999999999</v>
      </c>
      <c r="J248" s="1">
        <v>1</v>
      </c>
      <c r="K248" s="1" t="s">
        <v>248</v>
      </c>
      <c r="L248" s="1">
        <v>85</v>
      </c>
      <c r="M248" s="1" t="s">
        <v>69</v>
      </c>
      <c r="N248" s="3" t="s">
        <v>133</v>
      </c>
      <c r="O248" s="1"/>
    </row>
    <row r="249" spans="1:15" x14ac:dyDescent="0.25">
      <c r="A249" s="2" t="s">
        <v>309</v>
      </c>
      <c r="B249" s="1" t="s">
        <v>130</v>
      </c>
      <c r="C249" s="1" t="s">
        <v>22</v>
      </c>
      <c r="D249" s="1" t="s">
        <v>310</v>
      </c>
      <c r="E249" s="1" t="str">
        <f>VLOOKUP(Table1[[#This Row],[Navn DK]],product_nodes_new_id!A:C,3,FALSE)</f>
        <v>23fc340f-cc3e-4ef8-92f7-c20ed7426eb6</v>
      </c>
      <c r="F249" s="1">
        <v>2.9700000000000006</v>
      </c>
      <c r="G249" s="1">
        <v>0</v>
      </c>
      <c r="H249" s="1">
        <v>6.5340000000000009E-2</v>
      </c>
      <c r="I249" s="1">
        <v>0</v>
      </c>
      <c r="J249" s="1">
        <v>1</v>
      </c>
      <c r="K249" s="1" t="s">
        <v>248</v>
      </c>
      <c r="L249" s="1">
        <v>115</v>
      </c>
      <c r="M249" s="1" t="s">
        <v>69</v>
      </c>
      <c r="N249" s="3" t="s">
        <v>133</v>
      </c>
      <c r="O249" s="1"/>
    </row>
    <row r="250" spans="1:15" x14ac:dyDescent="0.25">
      <c r="A250" s="2" t="s">
        <v>299</v>
      </c>
      <c r="B250" s="1" t="s">
        <v>130</v>
      </c>
      <c r="C250" s="1" t="s">
        <v>22</v>
      </c>
      <c r="D250" s="1" t="s">
        <v>300</v>
      </c>
      <c r="E250" s="1" t="str">
        <f>VLOOKUP(Table1[[#This Row],[Navn DK]],product_nodes_new_id!A:C,3,FALSE)</f>
        <v>adfaffdb-7bb4-447b-81b6-a15fdb151e9a</v>
      </c>
      <c r="F250" s="1">
        <v>2.343</v>
      </c>
      <c r="G250" s="1">
        <v>0</v>
      </c>
      <c r="H250" s="1">
        <v>7.4309352517985622E-2</v>
      </c>
      <c r="I250" s="1">
        <v>-7.1847457627118638E-2</v>
      </c>
      <c r="J250" s="1">
        <v>1</v>
      </c>
      <c r="K250" s="1" t="s">
        <v>248</v>
      </c>
      <c r="L250" s="1">
        <v>78</v>
      </c>
      <c r="M250" s="1" t="s">
        <v>69</v>
      </c>
      <c r="N250" s="3" t="s">
        <v>133</v>
      </c>
      <c r="O250" s="1"/>
    </row>
    <row r="251" spans="1:15" x14ac:dyDescent="0.25">
      <c r="A251" s="2" t="s">
        <v>315</v>
      </c>
      <c r="B251" s="1" t="s">
        <v>130</v>
      </c>
      <c r="C251" s="1" t="s">
        <v>22</v>
      </c>
      <c r="D251" s="1" t="s">
        <v>316</v>
      </c>
      <c r="E251" s="1" t="str">
        <f>VLOOKUP(Table1[[#This Row],[Navn DK]],product_nodes_new_id!A:C,3,FALSE)</f>
        <v>cf5fd7cd-e68a-45a9-8850-e43ad004287c</v>
      </c>
      <c r="F251" s="1">
        <v>5.4560000000000004</v>
      </c>
      <c r="G251" s="1">
        <v>0</v>
      </c>
      <c r="H251" s="1">
        <v>0.10802</v>
      </c>
      <c r="I251" s="1">
        <v>-0.1656</v>
      </c>
      <c r="J251" s="1">
        <v>1</v>
      </c>
      <c r="K251" s="1" t="s">
        <v>248</v>
      </c>
      <c r="L251" s="1">
        <v>172.5</v>
      </c>
      <c r="M251" s="1" t="s">
        <v>69</v>
      </c>
      <c r="N251" s="3" t="s">
        <v>133</v>
      </c>
      <c r="O251" s="1"/>
    </row>
    <row r="252" spans="1:15" x14ac:dyDescent="0.25">
      <c r="A252" s="2" t="s">
        <v>291</v>
      </c>
      <c r="B252" s="1" t="s">
        <v>130</v>
      </c>
      <c r="C252" s="1" t="s">
        <v>22</v>
      </c>
      <c r="D252" s="1" t="s">
        <v>292</v>
      </c>
      <c r="E252" s="1" t="str">
        <f>VLOOKUP(Table1[[#This Row],[Navn DK]],product_nodes_new_id!A:C,3,FALSE)</f>
        <v>3dd3d6c1-9f86-45bb-98c4-9416a846ad94</v>
      </c>
      <c r="F252" s="1">
        <v>1.5509999999999999</v>
      </c>
      <c r="G252" s="1">
        <v>0</v>
      </c>
      <c r="H252" s="1">
        <v>3.1020000000000002E-2</v>
      </c>
      <c r="I252" s="1">
        <v>0</v>
      </c>
      <c r="J252" s="1">
        <v>1</v>
      </c>
      <c r="K252" s="1" t="s">
        <v>248</v>
      </c>
      <c r="L252" s="1">
        <v>60</v>
      </c>
      <c r="M252" s="1" t="s">
        <v>69</v>
      </c>
      <c r="N252" s="3" t="s">
        <v>133</v>
      </c>
      <c r="O252" s="1"/>
    </row>
    <row r="253" spans="1:15" x14ac:dyDescent="0.25">
      <c r="A253" s="2" t="s">
        <v>261</v>
      </c>
      <c r="B253" s="1" t="s">
        <v>130</v>
      </c>
      <c r="C253" s="1" t="s">
        <v>22</v>
      </c>
      <c r="D253" s="1" t="s">
        <v>262</v>
      </c>
      <c r="E253" s="1" t="str">
        <f>VLOOKUP(Table1[[#This Row],[Navn DK]],product_nodes_new_id!A:C,3,FALSE)</f>
        <v>f67e9b09-874f-4156-9148-69c3b8df8086</v>
      </c>
      <c r="F253" s="1">
        <v>1.09395</v>
      </c>
      <c r="G253" s="1">
        <v>0</v>
      </c>
      <c r="H253" s="1">
        <v>1.485E-2</v>
      </c>
      <c r="I253" s="1">
        <v>0</v>
      </c>
      <c r="J253" s="1">
        <v>1</v>
      </c>
      <c r="K253" s="1" t="s">
        <v>248</v>
      </c>
      <c r="L253" s="1">
        <v>28.5</v>
      </c>
      <c r="M253" s="1" t="s">
        <v>69</v>
      </c>
      <c r="N253" s="3" t="s">
        <v>133</v>
      </c>
      <c r="O253" s="1"/>
    </row>
    <row r="254" spans="1:15" x14ac:dyDescent="0.25">
      <c r="A254" s="2" t="s">
        <v>259</v>
      </c>
      <c r="B254" s="1" t="s">
        <v>130</v>
      </c>
      <c r="C254" s="1" t="s">
        <v>22</v>
      </c>
      <c r="D254" s="1" t="s">
        <v>260</v>
      </c>
      <c r="E254" s="1" t="str">
        <f>VLOOKUP(Table1[[#This Row],[Navn DK]],product_nodes_new_id!A:C,3,FALSE)</f>
        <v>14a0935a-8752-4e3f-81ac-1ef16c0076a5</v>
      </c>
      <c r="F254" s="1">
        <v>0.78177000000000008</v>
      </c>
      <c r="G254" s="1">
        <v>0</v>
      </c>
      <c r="H254" s="1">
        <v>3.9468000000000003E-2</v>
      </c>
      <c r="I254" s="1">
        <v>-5.2830000000000002E-2</v>
      </c>
      <c r="J254" s="1">
        <v>1</v>
      </c>
      <c r="K254" s="1" t="s">
        <v>248</v>
      </c>
      <c r="L254" s="1">
        <v>27.75</v>
      </c>
      <c r="M254" s="1" t="s">
        <v>69</v>
      </c>
      <c r="N254" s="3" t="s">
        <v>133</v>
      </c>
      <c r="O254" s="1"/>
    </row>
    <row r="255" spans="1:15" x14ac:dyDescent="0.25">
      <c r="A255" s="2" t="s">
        <v>265</v>
      </c>
      <c r="B255" s="1" t="s">
        <v>130</v>
      </c>
      <c r="C255" s="1" t="s">
        <v>22</v>
      </c>
      <c r="D255" s="1" t="s">
        <v>266</v>
      </c>
      <c r="E255" s="1" t="str">
        <f>VLOOKUP(Table1[[#This Row],[Navn DK]],product_nodes_new_id!A:C,3,FALSE)</f>
        <v>8363f360-12ca-4a7f-be94-6c2a3400377c</v>
      </c>
      <c r="F255" s="1">
        <v>0.59015000000000006</v>
      </c>
      <c r="G255" s="1">
        <v>0</v>
      </c>
      <c r="H255" s="1">
        <v>1.8040000000000004E-2</v>
      </c>
      <c r="I255" s="1">
        <v>-2.3220000000000001E-2</v>
      </c>
      <c r="J255" s="1">
        <v>1</v>
      </c>
      <c r="K255" s="1" t="s">
        <v>248</v>
      </c>
      <c r="L255" s="1">
        <v>29.75</v>
      </c>
      <c r="M255" s="1" t="s">
        <v>69</v>
      </c>
      <c r="N255" s="3" t="s">
        <v>133</v>
      </c>
      <c r="O255" s="1"/>
    </row>
    <row r="256" spans="1:15" x14ac:dyDescent="0.25">
      <c r="A256" s="2" t="s">
        <v>269</v>
      </c>
      <c r="B256" s="1" t="s">
        <v>130</v>
      </c>
      <c r="C256" s="1" t="s">
        <v>22</v>
      </c>
      <c r="D256" s="1" t="s">
        <v>270</v>
      </c>
      <c r="E256" s="1" t="str">
        <f>VLOOKUP(Table1[[#This Row],[Navn DK]],product_nodes_new_id!A:C,3,FALSE)</f>
        <v>85da3732-301a-472e-9c00-33acc63f7ea3</v>
      </c>
      <c r="F256" s="1">
        <v>1.0439000000000001</v>
      </c>
      <c r="G256" s="1">
        <v>0</v>
      </c>
      <c r="H256" s="1">
        <v>5.7557499999999998E-2</v>
      </c>
      <c r="I256" s="1">
        <v>0</v>
      </c>
      <c r="J256" s="1">
        <v>1</v>
      </c>
      <c r="K256" s="1" t="s">
        <v>248</v>
      </c>
      <c r="L256" s="1">
        <v>30</v>
      </c>
      <c r="M256" s="1" t="s">
        <v>69</v>
      </c>
      <c r="N256" s="3" t="s">
        <v>133</v>
      </c>
      <c r="O256" s="1"/>
    </row>
    <row r="257" spans="1:15" x14ac:dyDescent="0.25">
      <c r="A257" s="2" t="s">
        <v>255</v>
      </c>
      <c r="B257" s="1" t="s">
        <v>130</v>
      </c>
      <c r="C257" s="1" t="s">
        <v>22</v>
      </c>
      <c r="D257" s="1" t="s">
        <v>256</v>
      </c>
      <c r="E257" s="1" t="str">
        <f>VLOOKUP(Table1[[#This Row],[Navn DK]],product_nodes_new_id!A:C,3,FALSE)</f>
        <v>380c4203-28d3-49be-99ba-d7698d76b208</v>
      </c>
      <c r="F257" s="1">
        <v>0.89705000000000013</v>
      </c>
      <c r="G257" s="1">
        <v>0</v>
      </c>
      <c r="H257" s="1">
        <v>4.928000000000001E-3</v>
      </c>
      <c r="I257" s="1">
        <v>0</v>
      </c>
      <c r="J257" s="1">
        <v>1</v>
      </c>
      <c r="K257" s="1" t="s">
        <v>248</v>
      </c>
      <c r="L257" s="1">
        <v>25</v>
      </c>
      <c r="M257" s="1" t="s">
        <v>69</v>
      </c>
      <c r="N257" s="3" t="s">
        <v>133</v>
      </c>
      <c r="O257" s="1"/>
    </row>
    <row r="258" spans="1:15" x14ac:dyDescent="0.25">
      <c r="A258" s="2" t="s">
        <v>253</v>
      </c>
      <c r="B258" s="1" t="s">
        <v>130</v>
      </c>
      <c r="C258" s="1" t="s">
        <v>22</v>
      </c>
      <c r="D258" s="1" t="s">
        <v>254</v>
      </c>
      <c r="E258" s="1" t="str">
        <f>VLOOKUP(Table1[[#This Row],[Navn DK]],product_nodes_new_id!A:C,3,FALSE)</f>
        <v>2fd63a97-bb75-4334-901e-47ba52f823f0</v>
      </c>
      <c r="F258" s="1">
        <v>0.72599999999999998</v>
      </c>
      <c r="G258" s="1">
        <v>0</v>
      </c>
      <c r="H258" s="1">
        <v>4.0040000000000006E-3</v>
      </c>
      <c r="I258" s="1">
        <v>0</v>
      </c>
      <c r="J258" s="1">
        <v>1</v>
      </c>
      <c r="K258" s="1" t="s">
        <v>248</v>
      </c>
      <c r="L258" s="1">
        <v>17</v>
      </c>
      <c r="M258" s="1" t="s">
        <v>69</v>
      </c>
      <c r="N258" s="3" t="s">
        <v>133</v>
      </c>
      <c r="O258" s="1"/>
    </row>
    <row r="259" spans="1:15" x14ac:dyDescent="0.25">
      <c r="A259" s="2" t="s">
        <v>257</v>
      </c>
      <c r="B259" s="1" t="s">
        <v>130</v>
      </c>
      <c r="C259" s="1" t="s">
        <v>22</v>
      </c>
      <c r="D259" s="1" t="s">
        <v>258</v>
      </c>
      <c r="E259" s="1" t="str">
        <f>VLOOKUP(Table1[[#This Row],[Navn DK]],product_nodes_new_id!A:C,3,FALSE)</f>
        <v>df7796cc-ff83-46d1-826a-4ea58e2b16de</v>
      </c>
      <c r="F259" s="1">
        <v>0.85360000000000014</v>
      </c>
      <c r="G259" s="1">
        <v>0</v>
      </c>
      <c r="H259" s="1">
        <v>1.7380000000000003E-2</v>
      </c>
      <c r="I259" s="1">
        <v>-2.4120000000000003E-2</v>
      </c>
      <c r="J259" s="1">
        <v>1</v>
      </c>
      <c r="K259" s="1" t="s">
        <v>248</v>
      </c>
      <c r="L259" s="1">
        <v>26.5</v>
      </c>
      <c r="M259" s="1" t="s">
        <v>69</v>
      </c>
      <c r="N259" s="3" t="s">
        <v>133</v>
      </c>
      <c r="O259" s="1"/>
    </row>
    <row r="260" spans="1:15" x14ac:dyDescent="0.25">
      <c r="A260" s="2" t="s">
        <v>293</v>
      </c>
      <c r="B260" s="1" t="s">
        <v>130</v>
      </c>
      <c r="C260" s="1" t="s">
        <v>22</v>
      </c>
      <c r="D260" s="1" t="s">
        <v>294</v>
      </c>
      <c r="E260" s="1" t="str">
        <f>VLOOKUP(Table1[[#This Row],[Navn DK]],product_nodes_new_id!A:C,3,FALSE)</f>
        <v>9414ee3a-ec88-448e-9b55-dfea1546d178</v>
      </c>
      <c r="F260" s="1">
        <v>1.2429999999999999</v>
      </c>
      <c r="G260" s="1">
        <v>0</v>
      </c>
      <c r="H260" s="1">
        <v>5.3460000000000001E-2</v>
      </c>
      <c r="I260" s="1">
        <v>-6.5520000000000009E-2</v>
      </c>
      <c r="J260" s="1">
        <v>1</v>
      </c>
      <c r="K260" s="1" t="s">
        <v>248</v>
      </c>
      <c r="L260" s="1">
        <v>60</v>
      </c>
      <c r="M260" s="1" t="s">
        <v>69</v>
      </c>
      <c r="N260" s="15" t="s">
        <v>133</v>
      </c>
      <c r="O260" s="1"/>
    </row>
    <row r="261" spans="1:15" x14ac:dyDescent="0.25">
      <c r="A261" s="2" t="s">
        <v>267</v>
      </c>
      <c r="B261" s="1" t="s">
        <v>130</v>
      </c>
      <c r="C261" s="1" t="s">
        <v>22</v>
      </c>
      <c r="D261" s="1" t="s">
        <v>268</v>
      </c>
      <c r="E261" s="1" t="str">
        <f>VLOOKUP(Table1[[#This Row],[Navn DK]],product_nodes_new_id!A:C,3,FALSE)</f>
        <v>99348ad7-6617-49e7-8187-912e883953a8</v>
      </c>
      <c r="F261" s="1">
        <v>1.5015000000000003</v>
      </c>
      <c r="G261" s="1">
        <v>0</v>
      </c>
      <c r="H261" s="1">
        <v>1.6516500000000003E-2</v>
      </c>
      <c r="I261" s="1">
        <v>-4.8762E-2</v>
      </c>
      <c r="J261" s="1">
        <v>1</v>
      </c>
      <c r="K261" s="1" t="s">
        <v>248</v>
      </c>
      <c r="L261" s="1">
        <v>30</v>
      </c>
      <c r="M261" s="1" t="s">
        <v>69</v>
      </c>
      <c r="N261" s="3" t="s">
        <v>133</v>
      </c>
      <c r="O261" s="1"/>
    </row>
    <row r="262" spans="1:15" x14ac:dyDescent="0.25">
      <c r="A262" s="2" t="s">
        <v>295</v>
      </c>
      <c r="B262" s="1" t="s">
        <v>130</v>
      </c>
      <c r="C262" s="1" t="s">
        <v>22</v>
      </c>
      <c r="D262" s="1" t="s">
        <v>296</v>
      </c>
      <c r="E262" s="1" t="str">
        <f>VLOOKUP(Table1[[#This Row],[Navn DK]],product_nodes_new_id!A:C,3,FALSE)</f>
        <v>c9a85e67-a6cc-4ed7-8f65-b9a3905c7207</v>
      </c>
      <c r="F262" s="1">
        <v>1.5620000000000001</v>
      </c>
      <c r="G262" s="1">
        <v>0</v>
      </c>
      <c r="H262" s="1">
        <v>3.1020000000000002E-2</v>
      </c>
      <c r="I262" s="1">
        <v>0</v>
      </c>
      <c r="J262" s="1">
        <v>1</v>
      </c>
      <c r="K262" s="1" t="s">
        <v>248</v>
      </c>
      <c r="L262" s="1">
        <v>60</v>
      </c>
      <c r="M262" s="1" t="s">
        <v>69</v>
      </c>
      <c r="N262" s="3" t="s">
        <v>133</v>
      </c>
      <c r="O262" s="1"/>
    </row>
    <row r="263" spans="1:15" x14ac:dyDescent="0.25">
      <c r="A263" s="2" t="s">
        <v>287</v>
      </c>
      <c r="B263" s="1" t="s">
        <v>130</v>
      </c>
      <c r="C263" s="1" t="s">
        <v>22</v>
      </c>
      <c r="D263" s="1" t="s">
        <v>288</v>
      </c>
      <c r="E263" s="1" t="str">
        <f>VLOOKUP(Table1[[#This Row],[Navn DK]],product_nodes_new_id!A:C,3,FALSE)</f>
        <v>27e37d2a-f458-4962-b46f-18aa9f66cae9</v>
      </c>
      <c r="F263" s="1">
        <v>0.81510000000000005</v>
      </c>
      <c r="G263" s="1">
        <v>0</v>
      </c>
      <c r="H263" s="1">
        <v>3.1559000000000004E-2</v>
      </c>
      <c r="I263" s="1">
        <v>-4.4459999999999993E-2</v>
      </c>
      <c r="J263" s="1">
        <v>1</v>
      </c>
      <c r="K263" s="1" t="s">
        <v>248</v>
      </c>
      <c r="L263" s="1">
        <v>49.5</v>
      </c>
      <c r="M263" s="1" t="s">
        <v>69</v>
      </c>
      <c r="N263" s="3" t="s">
        <v>133</v>
      </c>
      <c r="O263" s="1"/>
    </row>
    <row r="264" spans="1:15" x14ac:dyDescent="0.25">
      <c r="A264" s="2" t="s">
        <v>278</v>
      </c>
      <c r="B264" s="1" t="s">
        <v>130</v>
      </c>
      <c r="C264" s="1" t="s">
        <v>22</v>
      </c>
      <c r="D264" s="1" t="s">
        <v>279</v>
      </c>
      <c r="E264" s="1" t="str">
        <f>VLOOKUP(Table1[[#This Row],[Navn DK]],product_nodes_new_id!A:C,3,FALSE)</f>
        <v>767ed6a1-50a8-412e-8bf3-da64ec66423c</v>
      </c>
      <c r="F264" s="1">
        <v>0.59510000000000007</v>
      </c>
      <c r="G264" s="1">
        <v>0</v>
      </c>
      <c r="H264" s="1">
        <v>2.1010000000000001E-2</v>
      </c>
      <c r="I264" s="1">
        <v>-2.9610000000000001E-2</v>
      </c>
      <c r="J264" s="1">
        <v>1</v>
      </c>
      <c r="K264" s="1" t="s">
        <v>248</v>
      </c>
      <c r="L264" s="1">
        <v>36.450000000000003</v>
      </c>
      <c r="M264" s="1" t="s">
        <v>69</v>
      </c>
      <c r="N264" s="3" t="s">
        <v>133</v>
      </c>
      <c r="O264" s="1"/>
    </row>
    <row r="265" spans="1:15" x14ac:dyDescent="0.25">
      <c r="A265" s="2" t="s">
        <v>263</v>
      </c>
      <c r="B265" s="1" t="s">
        <v>130</v>
      </c>
      <c r="C265" s="1" t="s">
        <v>22</v>
      </c>
      <c r="D265" s="1" t="s">
        <v>264</v>
      </c>
      <c r="E265" s="1" t="str">
        <f>VLOOKUP(Table1[[#This Row],[Navn DK]],product_nodes_new_id!A:C,3,FALSE)</f>
        <v>4e8000fd-cdb5-41db-b330-ea47de0c85a7</v>
      </c>
      <c r="F265" s="1">
        <v>0.55110000000000003</v>
      </c>
      <c r="G265" s="1">
        <v>0</v>
      </c>
      <c r="H265" s="1">
        <v>1.8271000000000006E-2</v>
      </c>
      <c r="I265" s="1">
        <v>-2.5740000000000002E-2</v>
      </c>
      <c r="J265" s="1">
        <v>1</v>
      </c>
      <c r="K265" s="1" t="s">
        <v>248</v>
      </c>
      <c r="L265" s="1">
        <v>29</v>
      </c>
      <c r="M265" s="1" t="s">
        <v>69</v>
      </c>
      <c r="N265" s="3" t="s">
        <v>133</v>
      </c>
      <c r="O265" s="1"/>
    </row>
    <row r="266" spans="1:15" x14ac:dyDescent="0.25">
      <c r="A266" s="2" t="s">
        <v>285</v>
      </c>
      <c r="B266" s="1" t="s">
        <v>130</v>
      </c>
      <c r="C266" s="1" t="s">
        <v>22</v>
      </c>
      <c r="D266" s="1" t="s">
        <v>286</v>
      </c>
      <c r="E266" s="1" t="str">
        <f>VLOOKUP(Table1[[#This Row],[Navn DK]],product_nodes_new_id!A:C,3,FALSE)</f>
        <v>770817d5-9a25-4c02-93ff-5e5d4536f82e</v>
      </c>
      <c r="F266" s="1">
        <v>1.9470000000000003</v>
      </c>
      <c r="G266" s="1">
        <v>0</v>
      </c>
      <c r="H266" s="1">
        <v>2.9370000000000004E-2</v>
      </c>
      <c r="I266" s="1">
        <v>0</v>
      </c>
      <c r="J266" s="1">
        <v>1</v>
      </c>
      <c r="K266" s="1" t="s">
        <v>248</v>
      </c>
      <c r="L266" s="1">
        <v>43.75</v>
      </c>
      <c r="M266" s="1" t="s">
        <v>69</v>
      </c>
      <c r="N266" s="3" t="s">
        <v>133</v>
      </c>
      <c r="O266" s="1"/>
    </row>
    <row r="267" spans="1:15" x14ac:dyDescent="0.25">
      <c r="A267" s="2" t="s">
        <v>297</v>
      </c>
      <c r="B267" s="1" t="s">
        <v>130</v>
      </c>
      <c r="C267" s="1" t="s">
        <v>22</v>
      </c>
      <c r="D267" s="1" t="s">
        <v>298</v>
      </c>
      <c r="E267" s="1" t="str">
        <f>VLOOKUP(Table1[[#This Row],[Navn DK]],product_nodes_new_id!A:C,3,FALSE)</f>
        <v>97441968-3762-4d70-8de9-0d1c12e57a2e</v>
      </c>
      <c r="F267" s="1">
        <v>0.98010000000000008</v>
      </c>
      <c r="G267" s="1">
        <v>0</v>
      </c>
      <c r="H267" s="1">
        <v>4.598E-2</v>
      </c>
      <c r="I267" s="1">
        <v>0</v>
      </c>
      <c r="J267" s="1">
        <v>1</v>
      </c>
      <c r="K267" s="1" t="s">
        <v>248</v>
      </c>
      <c r="L267" s="1">
        <v>75</v>
      </c>
      <c r="M267" s="1" t="s">
        <v>69</v>
      </c>
      <c r="N267" s="3" t="s">
        <v>133</v>
      </c>
      <c r="O267" s="1"/>
    </row>
    <row r="268" spans="1:15" x14ac:dyDescent="0.25">
      <c r="A268" s="2" t="s">
        <v>305</v>
      </c>
      <c r="B268" s="1" t="s">
        <v>130</v>
      </c>
      <c r="C268" s="1" t="s">
        <v>22</v>
      </c>
      <c r="D268" s="1" t="s">
        <v>306</v>
      </c>
      <c r="E268" s="1" t="str">
        <f>VLOOKUP(Table1[[#This Row],[Navn DK]],product_nodes_new_id!A:C,3,FALSE)</f>
        <v>4f849b05-59e6-4d09-8b12-4b6c29b5faf5</v>
      </c>
      <c r="F268" s="1">
        <v>4.7190000000000003</v>
      </c>
      <c r="G268" s="1">
        <v>0</v>
      </c>
      <c r="H268" s="1">
        <v>5.1908999999999997E-2</v>
      </c>
      <c r="I268" s="1">
        <v>-0.153252</v>
      </c>
      <c r="J268" s="1">
        <v>1</v>
      </c>
      <c r="K268" s="1" t="s">
        <v>248</v>
      </c>
      <c r="L268" s="1">
        <v>100</v>
      </c>
      <c r="M268" s="1" t="s">
        <v>69</v>
      </c>
      <c r="N268" s="3" t="s">
        <v>133</v>
      </c>
      <c r="O268" s="1"/>
    </row>
    <row r="269" spans="1:15" x14ac:dyDescent="0.25">
      <c r="A269" s="2" t="s">
        <v>307</v>
      </c>
      <c r="B269" s="1" t="s">
        <v>130</v>
      </c>
      <c r="C269" s="1" t="s">
        <v>22</v>
      </c>
      <c r="D269" s="1" t="s">
        <v>308</v>
      </c>
      <c r="E269" s="1" t="str">
        <f>VLOOKUP(Table1[[#This Row],[Navn DK]],product_nodes_new_id!A:C,3,FALSE)</f>
        <v>1ff90967-395e-40b9-8b1e-3cc6e4988cff</v>
      </c>
      <c r="F269" s="1">
        <v>1.4410000000000003</v>
      </c>
      <c r="G269" s="1">
        <v>0</v>
      </c>
      <c r="H269" s="1">
        <v>5.5660000000000001E-2</v>
      </c>
      <c r="I269" s="1">
        <v>-7.8210000000000002E-2</v>
      </c>
      <c r="J269" s="1">
        <v>1</v>
      </c>
      <c r="K269" s="1" t="s">
        <v>248</v>
      </c>
      <c r="L269" s="1">
        <v>100</v>
      </c>
      <c r="M269" s="1" t="s">
        <v>69</v>
      </c>
      <c r="N269" s="3" t="s">
        <v>133</v>
      </c>
      <c r="O269" s="1"/>
    </row>
    <row r="270" spans="1:15" x14ac:dyDescent="0.25">
      <c r="A270" s="2" t="s">
        <v>313</v>
      </c>
      <c r="B270" s="1" t="s">
        <v>130</v>
      </c>
      <c r="C270" s="1" t="s">
        <v>22</v>
      </c>
      <c r="D270" s="1" t="s">
        <v>314</v>
      </c>
      <c r="E270" s="1" t="str">
        <f>VLOOKUP(Table1[[#This Row],[Navn DK]],product_nodes_new_id!A:C,3,FALSE)</f>
        <v>a1289896-d371-4a4e-90aa-293d644c7f90</v>
      </c>
      <c r="F270" s="1">
        <v>8.0938000000000017</v>
      </c>
      <c r="G270" s="1">
        <v>0</v>
      </c>
      <c r="H270" s="1">
        <v>9.1740000000000016E-2</v>
      </c>
      <c r="I270" s="1">
        <v>-0.12869999999999998</v>
      </c>
      <c r="J270" s="1">
        <v>1</v>
      </c>
      <c r="K270" s="1" t="s">
        <v>248</v>
      </c>
      <c r="L270" s="1">
        <v>149</v>
      </c>
      <c r="M270" s="1" t="s">
        <v>69</v>
      </c>
      <c r="N270" s="3" t="s">
        <v>133</v>
      </c>
      <c r="O270" s="1"/>
    </row>
    <row r="271" spans="1:15" x14ac:dyDescent="0.25">
      <c r="A271" s="2" t="s">
        <v>301</v>
      </c>
      <c r="B271" s="1" t="s">
        <v>130</v>
      </c>
      <c r="C271" s="1" t="s">
        <v>22</v>
      </c>
      <c r="D271" s="1" t="s">
        <v>302</v>
      </c>
      <c r="E271" s="1" t="str">
        <f>VLOOKUP(Table1[[#This Row],[Navn DK]],product_nodes_new_id!A:C,3,FALSE)</f>
        <v>24162b23-be58-4d4c-845c-318eed7768f6</v>
      </c>
      <c r="F271" s="1">
        <v>4.3043000000000005</v>
      </c>
      <c r="G271" s="1">
        <v>4.6090000000000006E-2</v>
      </c>
      <c r="H271" s="1">
        <v>4.7347300000000002E-2</v>
      </c>
      <c r="I271" s="1">
        <v>-7.4969999999999995E-2</v>
      </c>
      <c r="J271" s="1">
        <v>1</v>
      </c>
      <c r="K271" s="1" t="s">
        <v>248</v>
      </c>
      <c r="L271" s="1">
        <v>78.25</v>
      </c>
      <c r="M271" s="1" t="s">
        <v>69</v>
      </c>
      <c r="N271" s="3" t="s">
        <v>133</v>
      </c>
      <c r="O271" s="1"/>
    </row>
    <row r="272" spans="1:15" x14ac:dyDescent="0.25">
      <c r="A272" s="2" t="s">
        <v>138</v>
      </c>
      <c r="B272" s="1" t="s">
        <v>130</v>
      </c>
      <c r="C272" s="1" t="s">
        <v>22</v>
      </c>
      <c r="D272" s="1" t="s">
        <v>139</v>
      </c>
      <c r="E272" s="1" t="str">
        <f>VLOOKUP(Table1[[#This Row],[Navn DK]],product_nodes_new_id!A:C,3,FALSE)</f>
        <v>0871276d-ec28-47f1-8609-a7aef0dce1ce</v>
      </c>
      <c r="F272" s="1">
        <v>1.4960000000000002</v>
      </c>
      <c r="G272" s="1">
        <v>0.47190000000000004</v>
      </c>
      <c r="H272" s="1">
        <v>0</v>
      </c>
      <c r="I272" s="1">
        <v>-0.35730000000000001</v>
      </c>
      <c r="J272" s="1">
        <v>1</v>
      </c>
      <c r="K272" s="1" t="s">
        <v>17</v>
      </c>
      <c r="L272" s="1">
        <v>1500</v>
      </c>
      <c r="M272" s="1" t="s">
        <v>69</v>
      </c>
      <c r="N272" s="3" t="s">
        <v>133</v>
      </c>
      <c r="O272" s="1"/>
    </row>
    <row r="273" spans="1:15" x14ac:dyDescent="0.25">
      <c r="A273" s="2" t="s">
        <v>355</v>
      </c>
      <c r="B273" s="1" t="s">
        <v>130</v>
      </c>
      <c r="C273" s="1" t="s">
        <v>22</v>
      </c>
      <c r="D273" s="1" t="s">
        <v>356</v>
      </c>
      <c r="E273" s="1" t="str">
        <f>VLOOKUP(Table1[[#This Row],[Navn DK]],product_nodes_new_id!A:C,3,FALSE)</f>
        <v>63efe1e1-5c5f-4e0f-83b8-cba0a90cdc5b</v>
      </c>
      <c r="F273" s="1">
        <v>366.3</v>
      </c>
      <c r="G273" s="1">
        <v>2.9810000000000003</v>
      </c>
      <c r="H273" s="1">
        <v>19.690000000000001</v>
      </c>
      <c r="I273" s="1">
        <v>-1.8180000000000001</v>
      </c>
      <c r="J273" s="1">
        <v>1</v>
      </c>
      <c r="K273" s="1" t="s">
        <v>339</v>
      </c>
      <c r="L273" s="1">
        <v>1660</v>
      </c>
      <c r="M273" s="1" t="s">
        <v>69</v>
      </c>
      <c r="N273" s="3" t="s">
        <v>133</v>
      </c>
      <c r="O273" s="1"/>
    </row>
    <row r="274" spans="1:15" x14ac:dyDescent="0.25">
      <c r="A274" s="2" t="s">
        <v>359</v>
      </c>
      <c r="B274" s="1" t="s">
        <v>130</v>
      </c>
      <c r="C274" s="1" t="s">
        <v>22</v>
      </c>
      <c r="D274" s="1" t="s">
        <v>360</v>
      </c>
      <c r="E274" s="1" t="str">
        <f>VLOOKUP(Table1[[#This Row],[Navn DK]],product_nodes_new_id!A:C,3,FALSE)</f>
        <v>9a25a15e-22e6-41ef-8973-4d165113b6fb</v>
      </c>
      <c r="F274" s="1">
        <v>172.15</v>
      </c>
      <c r="G274" s="1">
        <v>2.9810000000000003</v>
      </c>
      <c r="H274" s="1">
        <v>0.1595</v>
      </c>
      <c r="I274" s="1">
        <v>-1.8180000000000001</v>
      </c>
      <c r="J274" s="1">
        <v>1</v>
      </c>
      <c r="K274" s="1" t="s">
        <v>339</v>
      </c>
      <c r="L274" s="1">
        <v>1783.75</v>
      </c>
      <c r="M274" s="1" t="s">
        <v>69</v>
      </c>
      <c r="N274" s="3" t="s">
        <v>133</v>
      </c>
      <c r="O274" s="1"/>
    </row>
    <row r="275" spans="1:15" x14ac:dyDescent="0.25">
      <c r="A275" s="2" t="s">
        <v>153</v>
      </c>
      <c r="B275" s="1" t="s">
        <v>130</v>
      </c>
      <c r="C275" s="1" t="s">
        <v>22</v>
      </c>
      <c r="D275" s="1" t="s">
        <v>154</v>
      </c>
      <c r="E275" s="1" t="str">
        <f>VLOOKUP(Table1[[#This Row],[Navn DK]],product_nodes_new_id!A:C,3,FALSE)</f>
        <v>54b3f793-9f62-4b44-ae90-aabd1c3a4f93</v>
      </c>
      <c r="F275" s="1">
        <v>1.4960000000000002</v>
      </c>
      <c r="G275" s="1">
        <v>0.47190000000000004</v>
      </c>
      <c r="H275" s="1">
        <v>1.8810000000000004E-2</v>
      </c>
      <c r="I275" s="1">
        <v>-3.141E-2</v>
      </c>
      <c r="J275" s="1">
        <v>1</v>
      </c>
      <c r="K275" s="1" t="s">
        <v>17</v>
      </c>
      <c r="L275" s="1">
        <v>1700</v>
      </c>
      <c r="M275" s="1" t="s">
        <v>69</v>
      </c>
      <c r="N275" s="3" t="s">
        <v>133</v>
      </c>
      <c r="O275" s="1"/>
    </row>
    <row r="276" spans="1:15" x14ac:dyDescent="0.25">
      <c r="A276" s="2" t="s">
        <v>915</v>
      </c>
      <c r="B276" s="1" t="s">
        <v>394</v>
      </c>
      <c r="C276" s="1" t="s">
        <v>916</v>
      </c>
      <c r="D276" s="1" t="s">
        <v>917</v>
      </c>
      <c r="E276" s="1" t="str">
        <f>VLOOKUP(Table1[[#This Row],[Navn DK]],product_nodes_new_id!A:C,3,FALSE)</f>
        <v>4ccf893d-5d61-45b5-9a38-d82cc7b0ffcb</v>
      </c>
      <c r="F276" s="1">
        <v>15.6468799763303</v>
      </c>
      <c r="G276" s="1">
        <v>0.70365616013636501</v>
      </c>
      <c r="H276" s="1">
        <v>0</v>
      </c>
      <c r="I276" s="1">
        <v>-0.16376044141183199</v>
      </c>
      <c r="J276" s="1">
        <v>1</v>
      </c>
      <c r="K276" s="1" t="s">
        <v>24</v>
      </c>
      <c r="L276" s="1">
        <v>104</v>
      </c>
      <c r="M276" s="1" t="s">
        <v>25</v>
      </c>
      <c r="N276" s="3" t="s">
        <v>918</v>
      </c>
      <c r="O276" s="1"/>
    </row>
    <row r="277" spans="1:15" x14ac:dyDescent="0.25">
      <c r="A277" s="2" t="s">
        <v>1021</v>
      </c>
      <c r="B277" s="1" t="s">
        <v>394</v>
      </c>
      <c r="C277" s="1" t="s">
        <v>1022</v>
      </c>
      <c r="D277" s="1" t="s">
        <v>1023</v>
      </c>
      <c r="E277" s="1" t="str">
        <f>VLOOKUP(Table1[[#This Row],[Navn DK]],product_nodes_new_id!A:C,3,FALSE)</f>
        <v>b8e4a457-e9d5-45fa-a81a-3f3bdd5ae44b</v>
      </c>
      <c r="F277" s="1">
        <v>14.293573688607999</v>
      </c>
      <c r="G277" s="1">
        <v>0.351828080068182</v>
      </c>
      <c r="H277" s="1">
        <v>0</v>
      </c>
      <c r="I277" s="1">
        <v>-8.1880220705915996E-2</v>
      </c>
      <c r="J277" s="1">
        <v>1</v>
      </c>
      <c r="K277" s="1" t="s">
        <v>24</v>
      </c>
      <c r="L277" s="1">
        <v>52</v>
      </c>
      <c r="M277" s="1" t="s">
        <v>25</v>
      </c>
      <c r="N277" s="3" t="s">
        <v>1024</v>
      </c>
      <c r="O277" s="1"/>
    </row>
    <row r="278" spans="1:15" x14ac:dyDescent="0.25">
      <c r="A278" s="2" t="s">
        <v>1039</v>
      </c>
      <c r="B278" s="1" t="s">
        <v>394</v>
      </c>
      <c r="C278" s="1" t="s">
        <v>1040</v>
      </c>
      <c r="D278" s="1" t="s">
        <v>1041</v>
      </c>
      <c r="E278" s="1" t="str">
        <f>VLOOKUP(Table1[[#This Row],[Navn DK]],product_nodes_new_id!A:C,3,FALSE)</f>
        <v>5fc5549e-63f3-474d-ad5d-2c2d1c1749db</v>
      </c>
      <c r="F278" s="1">
        <v>30.971333928030202</v>
      </c>
      <c r="G278" s="1">
        <v>0.52774212010227395</v>
      </c>
      <c r="H278" s="1">
        <v>0</v>
      </c>
      <c r="I278" s="1">
        <v>-0.12282033105887399</v>
      </c>
      <c r="J278" s="1">
        <v>1</v>
      </c>
      <c r="K278" s="1" t="s">
        <v>24</v>
      </c>
      <c r="L278" s="1">
        <v>78</v>
      </c>
      <c r="M278" s="1" t="s">
        <v>25</v>
      </c>
      <c r="N278" s="3" t="s">
        <v>1042</v>
      </c>
      <c r="O278" s="1"/>
    </row>
    <row r="279" spans="1:15" x14ac:dyDescent="0.25">
      <c r="A279" s="2" t="s">
        <v>1029</v>
      </c>
      <c r="B279" s="1" t="s">
        <v>394</v>
      </c>
      <c r="C279" s="1" t="s">
        <v>1030</v>
      </c>
      <c r="D279" s="1" t="s">
        <v>1031</v>
      </c>
      <c r="E279" s="1" t="str">
        <f>VLOOKUP(Table1[[#This Row],[Navn DK]],product_nodes_new_id!A:C,3,FALSE)</f>
        <v>f01007dc-d5ac-47a6-9ee8-47c0758f252f</v>
      </c>
      <c r="F279" s="1">
        <v>30.295426870414602</v>
      </c>
      <c r="G279" s="1">
        <v>0.351828080068182</v>
      </c>
      <c r="H279" s="1">
        <v>0</v>
      </c>
      <c r="I279" s="1">
        <v>-8.1880220705915996E-2</v>
      </c>
      <c r="J279" s="1">
        <v>1</v>
      </c>
      <c r="K279" s="1" t="s">
        <v>24</v>
      </c>
      <c r="L279" s="1">
        <v>52</v>
      </c>
      <c r="M279" s="1" t="s">
        <v>25</v>
      </c>
      <c r="N279" s="3" t="s">
        <v>1032</v>
      </c>
      <c r="O279" s="1"/>
    </row>
    <row r="280" spans="1:15" x14ac:dyDescent="0.25">
      <c r="A280" s="2" t="s">
        <v>969</v>
      </c>
      <c r="B280" s="1" t="s">
        <v>394</v>
      </c>
      <c r="C280" s="1" t="s">
        <v>970</v>
      </c>
      <c r="D280" s="1" t="s">
        <v>971</v>
      </c>
      <c r="E280" s="1" t="str">
        <f>VLOOKUP(Table1[[#This Row],[Navn DK]],product_nodes_new_id!A:C,3,FALSE)</f>
        <v>0658e178-7b8e-413b-9b4f-e80a656aaf27</v>
      </c>
      <c r="F280" s="1">
        <v>5.9040423233376096</v>
      </c>
      <c r="G280" s="1">
        <v>1.40731232027273</v>
      </c>
      <c r="H280" s="1">
        <v>0</v>
      </c>
      <c r="I280" s="1">
        <v>-0.32752088282366398</v>
      </c>
      <c r="J280" s="1">
        <v>1</v>
      </c>
      <c r="K280" s="1" t="s">
        <v>24</v>
      </c>
      <c r="L280" s="1">
        <v>208</v>
      </c>
      <c r="M280" s="1" t="s">
        <v>25</v>
      </c>
      <c r="N280" s="3" t="s">
        <v>972</v>
      </c>
      <c r="O280" s="1"/>
    </row>
    <row r="281" spans="1:15" x14ac:dyDescent="0.25">
      <c r="A281" s="2" t="s">
        <v>833</v>
      </c>
      <c r="B281" s="1" t="s">
        <v>394</v>
      </c>
      <c r="C281" s="1" t="s">
        <v>834</v>
      </c>
      <c r="D281" s="1" t="s">
        <v>835</v>
      </c>
      <c r="E281" s="1" t="str">
        <f>VLOOKUP(Table1[[#This Row],[Navn DK]],product_nodes_new_id!A:C,3,FALSE)</f>
        <v>346e574f-e4c1-481c-bbe0-995fd831aa67</v>
      </c>
      <c r="F281" s="1">
        <v>0.48856375708829203</v>
      </c>
      <c r="G281" s="1">
        <v>0.3306938071046</v>
      </c>
      <c r="H281" s="1">
        <v>0</v>
      </c>
      <c r="I281" s="1">
        <v>-7.7374953717106898E-2</v>
      </c>
      <c r="J281" s="1">
        <v>1</v>
      </c>
      <c r="K281" s="1" t="s">
        <v>24</v>
      </c>
      <c r="L281" s="1">
        <v>0.12</v>
      </c>
      <c r="M281" s="1" t="s">
        <v>25</v>
      </c>
      <c r="N281" s="3" t="s">
        <v>836</v>
      </c>
      <c r="O281" s="1"/>
    </row>
    <row r="282" spans="1:15" x14ac:dyDescent="0.25">
      <c r="A282" s="2" t="s">
        <v>666</v>
      </c>
      <c r="B282" s="1" t="s">
        <v>394</v>
      </c>
      <c r="C282" s="1" t="s">
        <v>667</v>
      </c>
      <c r="D282" s="1" t="s">
        <v>668</v>
      </c>
      <c r="E282" s="1" t="str">
        <f>VLOOKUP(Table1[[#This Row],[Navn DK]],product_nodes_new_id!A:C,3,FALSE)</f>
        <v>5417e977-03d3-4315-b1ef-25ca54f7632e</v>
      </c>
      <c r="F282" s="1">
        <v>10.370124316294399</v>
      </c>
      <c r="G282" s="1">
        <v>2.8724905166834001</v>
      </c>
      <c r="H282" s="1">
        <v>0</v>
      </c>
      <c r="I282" s="1">
        <v>-0.82777701222243905</v>
      </c>
      <c r="J282" s="1">
        <v>1</v>
      </c>
      <c r="K282" s="1" t="s">
        <v>17</v>
      </c>
      <c r="L282" s="1">
        <v>1070</v>
      </c>
      <c r="M282" s="1" t="s">
        <v>69</v>
      </c>
      <c r="N282" s="3" t="s">
        <v>1600</v>
      </c>
      <c r="O282" s="1"/>
    </row>
    <row r="283" spans="1:15" x14ac:dyDescent="0.25">
      <c r="A283" s="2" t="s">
        <v>1334</v>
      </c>
      <c r="B283" s="1" t="s">
        <v>394</v>
      </c>
      <c r="C283" s="1" t="s">
        <v>1335</v>
      </c>
      <c r="D283" s="1" t="s">
        <v>1336</v>
      </c>
      <c r="E283" s="1" t="str">
        <f>VLOOKUP(Table1[[#This Row],[Navn DK]],product_nodes_new_id!A:C,3,FALSE)</f>
        <v>80cf7de4-d33b-497b-aa7d-3629cff3cd2e</v>
      </c>
      <c r="F283" s="1">
        <v>754.05645607215797</v>
      </c>
      <c r="G283" s="1">
        <v>11.068336947929</v>
      </c>
      <c r="H283" s="1">
        <v>1.3898666436973901</v>
      </c>
      <c r="I283" s="1">
        <v>-115.197831768485</v>
      </c>
      <c r="J283" s="1">
        <v>1</v>
      </c>
      <c r="K283" s="1" t="s">
        <v>123</v>
      </c>
      <c r="L283" s="1">
        <v>221</v>
      </c>
      <c r="M283" s="1" t="s">
        <v>124</v>
      </c>
      <c r="N283" s="3" t="s">
        <v>1337</v>
      </c>
      <c r="O283" s="1"/>
    </row>
    <row r="284" spans="1:15" x14ac:dyDescent="0.25">
      <c r="A284" s="2" t="s">
        <v>1450</v>
      </c>
      <c r="B284" s="1" t="s">
        <v>394</v>
      </c>
      <c r="C284" s="1" t="s">
        <v>1451</v>
      </c>
      <c r="D284" s="1" t="s">
        <v>1454</v>
      </c>
      <c r="E284" s="1" t="str">
        <f>VLOOKUP(Table1[[#This Row],[Navn DK]],product_nodes_new_id!A:C,3,FALSE)</f>
        <v>9952c163-e902-43b8-9dc0-9064f0cae6f1</v>
      </c>
      <c r="F284" s="1">
        <v>2856.3589950917499</v>
      </c>
      <c r="G284" s="1">
        <v>49.8205033552305</v>
      </c>
      <c r="H284" s="1">
        <v>3.3813094330382598</v>
      </c>
      <c r="I284" s="1">
        <v>-518.62507323685099</v>
      </c>
      <c r="J284" s="1">
        <v>1</v>
      </c>
      <c r="K284" s="1" t="s">
        <v>123</v>
      </c>
      <c r="L284" s="1">
        <v>992</v>
      </c>
      <c r="M284" s="1" t="s">
        <v>124</v>
      </c>
      <c r="N284" s="3" t="s">
        <v>1453</v>
      </c>
      <c r="O284" s="1"/>
    </row>
    <row r="285" spans="1:15" x14ac:dyDescent="0.25">
      <c r="A285" s="2" t="s">
        <v>1376</v>
      </c>
      <c r="B285" s="1" t="s">
        <v>394</v>
      </c>
      <c r="C285" s="1" t="s">
        <v>1377</v>
      </c>
      <c r="D285" s="1" t="s">
        <v>1378</v>
      </c>
      <c r="E285" s="1" t="str">
        <f>VLOOKUP(Table1[[#This Row],[Navn DK]],product_nodes_new_id!A:C,3,FALSE)</f>
        <v>55f61d2a-c68d-4f53-8e34-cb8fc42a3567</v>
      </c>
      <c r="F285" s="1">
        <v>1207.8551377807401</v>
      </c>
      <c r="G285" s="1">
        <v>17.722406197053399</v>
      </c>
      <c r="H285" s="1">
        <v>2.3191911568974302</v>
      </c>
      <c r="I285" s="1">
        <v>-184.51983965829601</v>
      </c>
      <c r="J285" s="1">
        <v>1</v>
      </c>
      <c r="K285" s="1" t="s">
        <v>123</v>
      </c>
      <c r="L285" s="1">
        <v>354</v>
      </c>
      <c r="M285" s="1" t="s">
        <v>124</v>
      </c>
      <c r="N285" s="3" t="s">
        <v>1379</v>
      </c>
      <c r="O285" s="1"/>
    </row>
    <row r="286" spans="1:15" x14ac:dyDescent="0.25">
      <c r="A286" s="2" t="s">
        <v>1334</v>
      </c>
      <c r="B286" s="1" t="s">
        <v>394</v>
      </c>
      <c r="C286" s="1" t="s">
        <v>1335</v>
      </c>
      <c r="D286" s="1" t="s">
        <v>1338</v>
      </c>
      <c r="E286" s="1" t="str">
        <f>VLOOKUP(Table1[[#This Row],[Navn DK]],product_nodes_new_id!A:C,3,FALSE)</f>
        <v>2491134f-c22e-4aef-b15a-bae55f643c0b</v>
      </c>
      <c r="F286" s="1">
        <v>754.05645607215797</v>
      </c>
      <c r="G286" s="1">
        <v>11.068336947929</v>
      </c>
      <c r="H286" s="1">
        <v>1.3898666436973901</v>
      </c>
      <c r="I286" s="1">
        <v>-115.197831768485</v>
      </c>
      <c r="J286" s="1">
        <v>1</v>
      </c>
      <c r="K286" s="1" t="s">
        <v>123</v>
      </c>
      <c r="L286" s="1">
        <v>221</v>
      </c>
      <c r="M286" s="1" t="s">
        <v>124</v>
      </c>
      <c r="N286" s="3" t="s">
        <v>1337</v>
      </c>
      <c r="O286" s="1"/>
    </row>
    <row r="287" spans="1:15" x14ac:dyDescent="0.25">
      <c r="A287" s="2" t="s">
        <v>1450</v>
      </c>
      <c r="B287" s="1" t="s">
        <v>394</v>
      </c>
      <c r="C287" s="1" t="s">
        <v>1451</v>
      </c>
      <c r="D287" s="1" t="s">
        <v>1452</v>
      </c>
      <c r="E287" s="1" t="str">
        <f>VLOOKUP(Table1[[#This Row],[Navn DK]],product_nodes_new_id!A:C,3,FALSE)</f>
        <v>da8803d7-01fa-4552-8377-ea8208fd2a59</v>
      </c>
      <c r="F287" s="1">
        <v>2856.3589950917499</v>
      </c>
      <c r="G287" s="1">
        <v>49.8205033552305</v>
      </c>
      <c r="H287" s="1">
        <v>3.3813094330382598</v>
      </c>
      <c r="I287" s="1">
        <v>-518.62507323685099</v>
      </c>
      <c r="J287" s="1">
        <v>1</v>
      </c>
      <c r="K287" s="1" t="s">
        <v>123</v>
      </c>
      <c r="L287" s="1">
        <v>992</v>
      </c>
      <c r="M287" s="1" t="s">
        <v>124</v>
      </c>
      <c r="N287" s="3" t="s">
        <v>1453</v>
      </c>
      <c r="O287" s="1"/>
    </row>
    <row r="288" spans="1:15" x14ac:dyDescent="0.25">
      <c r="A288" s="2" t="s">
        <v>1376</v>
      </c>
      <c r="B288" s="1" t="s">
        <v>394</v>
      </c>
      <c r="C288" s="1" t="s">
        <v>1377</v>
      </c>
      <c r="D288" s="1" t="s">
        <v>1380</v>
      </c>
      <c r="E288" s="1" t="str">
        <f>VLOOKUP(Table1[[#This Row],[Navn DK]],product_nodes_new_id!A:C,3,FALSE)</f>
        <v>52fe6971-fb86-4284-abff-1cb8973d9bc4</v>
      </c>
      <c r="F288" s="1">
        <v>1207.8551377807401</v>
      </c>
      <c r="G288" s="1">
        <v>17.722406197053399</v>
      </c>
      <c r="H288" s="1">
        <v>2.3191911568974302</v>
      </c>
      <c r="I288" s="1">
        <v>-184.51983965829601</v>
      </c>
      <c r="J288" s="1">
        <v>1</v>
      </c>
      <c r="K288" s="1" t="s">
        <v>123</v>
      </c>
      <c r="L288" s="1">
        <v>354</v>
      </c>
      <c r="M288" s="1" t="s">
        <v>124</v>
      </c>
      <c r="N288" s="3" t="s">
        <v>1379</v>
      </c>
      <c r="O288" s="1"/>
    </row>
    <row r="289" spans="1:15" x14ac:dyDescent="0.25">
      <c r="A289" s="2" t="s">
        <v>1043</v>
      </c>
      <c r="B289" s="1" t="s">
        <v>394</v>
      </c>
      <c r="C289" s="1" t="s">
        <v>1044</v>
      </c>
      <c r="D289" s="1" t="s">
        <v>1045</v>
      </c>
      <c r="E289" s="1" t="str">
        <f>VLOOKUP(Table1[[#This Row],[Navn DK]],product_nodes_new_id!A:C,3,FALSE)</f>
        <v>c421c9c0-66fd-46f7-854a-2e1c2d57b211</v>
      </c>
      <c r="F289" s="1">
        <v>-639.29999999999995</v>
      </c>
      <c r="G289" s="1">
        <v>983.2</v>
      </c>
      <c r="H289" s="1">
        <v>0</v>
      </c>
      <c r="I289" s="1">
        <v>-165.5</v>
      </c>
      <c r="J289" s="1">
        <v>1</v>
      </c>
      <c r="K289" s="1" t="s">
        <v>68</v>
      </c>
      <c r="L289" s="1">
        <v>600</v>
      </c>
      <c r="M289" s="1" t="s">
        <v>69</v>
      </c>
      <c r="N289" s="3" t="s">
        <v>1046</v>
      </c>
      <c r="O289" s="1"/>
    </row>
    <row r="290" spans="1:15" x14ac:dyDescent="0.25">
      <c r="A290" s="2" t="s">
        <v>813</v>
      </c>
      <c r="B290" s="1" t="s">
        <v>394</v>
      </c>
      <c r="C290" s="1" t="s">
        <v>814</v>
      </c>
      <c r="D290" s="1" t="s">
        <v>815</v>
      </c>
      <c r="E290" s="1" t="str">
        <f>VLOOKUP(Table1[[#This Row],[Navn DK]],product_nodes_new_id!A:C,3,FALSE)</f>
        <v>4feab0ae-012a-4c47-a7db-786a65b493de</v>
      </c>
      <c r="F290" s="1">
        <v>123.71</v>
      </c>
      <c r="G290" s="1">
        <v>27.3</v>
      </c>
      <c r="H290" s="1">
        <v>1.06</v>
      </c>
      <c r="I290" s="1">
        <v>-37.4</v>
      </c>
      <c r="J290" s="1">
        <v>1</v>
      </c>
      <c r="K290" s="1" t="s">
        <v>24</v>
      </c>
      <c r="L290" s="1">
        <v>44.2</v>
      </c>
      <c r="M290" s="1" t="s">
        <v>25</v>
      </c>
      <c r="N290" s="3" t="s">
        <v>816</v>
      </c>
      <c r="O290" s="1"/>
    </row>
    <row r="291" spans="1:15" x14ac:dyDescent="0.25">
      <c r="A291" s="2" t="s">
        <v>873</v>
      </c>
      <c r="B291" s="1" t="s">
        <v>394</v>
      </c>
      <c r="C291" s="1" t="s">
        <v>874</v>
      </c>
      <c r="D291" s="1" t="s">
        <v>875</v>
      </c>
      <c r="E291" s="1" t="str">
        <f>VLOOKUP(Table1[[#This Row],[Navn DK]],product_nodes_new_id!A:C,3,FALSE)</f>
        <v>d31a6699-b4be-4cee-a469-764490420a42</v>
      </c>
      <c r="F291" s="1">
        <v>5.4903372251291396</v>
      </c>
      <c r="G291" s="1">
        <v>0</v>
      </c>
      <c r="H291" s="1">
        <v>0</v>
      </c>
      <c r="I291" s="1">
        <v>0</v>
      </c>
      <c r="J291" s="1">
        <v>1</v>
      </c>
      <c r="K291" s="1" t="s">
        <v>24</v>
      </c>
      <c r="L291" s="1">
        <v>1</v>
      </c>
      <c r="M291" s="1" t="s">
        <v>25</v>
      </c>
      <c r="N291" s="3" t="s">
        <v>876</v>
      </c>
      <c r="O291" s="1"/>
    </row>
    <row r="292" spans="1:15" x14ac:dyDescent="0.25">
      <c r="A292" s="2" t="s">
        <v>563</v>
      </c>
      <c r="B292" s="1" t="s">
        <v>394</v>
      </c>
      <c r="C292" s="1" t="s">
        <v>564</v>
      </c>
      <c r="D292" s="1" t="s">
        <v>565</v>
      </c>
      <c r="E292" s="1" t="str">
        <f>VLOOKUP(Table1[[#This Row],[Navn DK]],product_nodes_new_id!A:C,3,FALSE)</f>
        <v>0cd2a490-a2d8-406b-a23e-140fa6c69c03</v>
      </c>
      <c r="F292" s="1">
        <v>1.45092127457102</v>
      </c>
      <c r="G292" s="1">
        <v>0</v>
      </c>
      <c r="H292" s="1">
        <v>1.6092731618195199E-2</v>
      </c>
      <c r="I292" s="1">
        <v>-4.0834914026389698E-3</v>
      </c>
      <c r="J292" s="1">
        <v>1</v>
      </c>
      <c r="K292" s="1" t="s">
        <v>17</v>
      </c>
      <c r="L292" s="1">
        <v>1</v>
      </c>
      <c r="M292" s="1" t="s">
        <v>18</v>
      </c>
      <c r="N292" s="3" t="s">
        <v>1577</v>
      </c>
      <c r="O292" s="1"/>
    </row>
    <row r="293" spans="1:15" x14ac:dyDescent="0.25">
      <c r="A293" s="2" t="s">
        <v>741</v>
      </c>
      <c r="B293" s="1" t="s">
        <v>394</v>
      </c>
      <c r="C293" s="1" t="s">
        <v>742</v>
      </c>
      <c r="D293" s="1" t="s">
        <v>743</v>
      </c>
      <c r="E293" s="1" t="str">
        <f>VLOOKUP(Table1[[#This Row],[Navn DK]],product_nodes_new_id!A:C,3,FALSE)</f>
        <v>b0ff5d90-4712-4b1c-b207-3c28e69c7f6e</v>
      </c>
      <c r="F293" s="1">
        <v>2.08057521856102</v>
      </c>
      <c r="G293" s="1">
        <v>0</v>
      </c>
      <c r="H293" s="1">
        <v>1.6092731618195199E-2</v>
      </c>
      <c r="I293" s="1">
        <v>-3.5001354879762598E-3</v>
      </c>
      <c r="J293" s="1">
        <v>1</v>
      </c>
      <c r="K293" s="1" t="s">
        <v>17</v>
      </c>
      <c r="L293" s="1">
        <v>1</v>
      </c>
      <c r="M293" s="1" t="s">
        <v>18</v>
      </c>
      <c r="N293" s="3" t="s">
        <v>1619</v>
      </c>
      <c r="O293" s="1"/>
    </row>
    <row r="294" spans="1:15" x14ac:dyDescent="0.25">
      <c r="A294" s="2" t="s">
        <v>405</v>
      </c>
      <c r="B294" s="1" t="s">
        <v>394</v>
      </c>
      <c r="C294" s="1" t="s">
        <v>406</v>
      </c>
      <c r="D294" s="1" t="s">
        <v>407</v>
      </c>
      <c r="E294" s="1" t="str">
        <f>VLOOKUP(Table1[[#This Row],[Navn DK]],product_nodes_new_id!A:C,3,FALSE)</f>
        <v>224e5e27-6480-4ad6-82e3-b4178164d450</v>
      </c>
      <c r="F294" s="1">
        <v>0.87731371896645505</v>
      </c>
      <c r="G294" s="1">
        <v>0</v>
      </c>
      <c r="H294" s="1">
        <v>1.6092731618195199E-2</v>
      </c>
      <c r="I294" s="1">
        <v>-4.6668473173016797E-3</v>
      </c>
      <c r="J294" s="1">
        <v>1</v>
      </c>
      <c r="K294" s="1" t="s">
        <v>17</v>
      </c>
      <c r="L294" s="1">
        <v>1</v>
      </c>
      <c r="M294" s="1" t="s">
        <v>18</v>
      </c>
      <c r="N294" s="3" t="s">
        <v>1543</v>
      </c>
      <c r="O294" s="1"/>
    </row>
    <row r="295" spans="1:15" x14ac:dyDescent="0.25">
      <c r="A295" s="2" t="s">
        <v>638</v>
      </c>
      <c r="B295" s="1" t="s">
        <v>394</v>
      </c>
      <c r="C295" s="1" t="s">
        <v>639</v>
      </c>
      <c r="D295" s="1" t="s">
        <v>640</v>
      </c>
      <c r="E295" s="1" t="str">
        <f>VLOOKUP(Table1[[#This Row],[Navn DK]],product_nodes_new_id!A:C,3,FALSE)</f>
        <v>3f070ef6-19e1-4175-96b9-668a15cd8b08</v>
      </c>
      <c r="F295" s="1">
        <v>0.82065921827616295</v>
      </c>
      <c r="G295" s="1">
        <v>0</v>
      </c>
      <c r="H295" s="1">
        <v>1.6092731618195199E-2</v>
      </c>
      <c r="I295" s="1">
        <v>-4.6668473173016797E-3</v>
      </c>
      <c r="J295" s="1">
        <v>1</v>
      </c>
      <c r="K295" s="1" t="s">
        <v>17</v>
      </c>
      <c r="L295" s="1">
        <v>1</v>
      </c>
      <c r="M295" s="1" t="s">
        <v>18</v>
      </c>
      <c r="N295" s="3" t="s">
        <v>1593</v>
      </c>
      <c r="O295" s="1"/>
    </row>
    <row r="296" spans="1:15" x14ac:dyDescent="0.25">
      <c r="A296" s="2" t="s">
        <v>494</v>
      </c>
      <c r="B296" s="1" t="s">
        <v>394</v>
      </c>
      <c r="C296" s="1" t="s">
        <v>495</v>
      </c>
      <c r="D296" s="1" t="s">
        <v>496</v>
      </c>
      <c r="E296" s="1" t="str">
        <f>VLOOKUP(Table1[[#This Row],[Navn DK]],product_nodes_new_id!A:C,3,FALSE)</f>
        <v>5cf77daa-a292-4fe7-84be-40bd64edadac</v>
      </c>
      <c r="F296" s="1">
        <v>1.3740601180638901</v>
      </c>
      <c r="G296" s="1">
        <v>0</v>
      </c>
      <c r="H296" s="1">
        <v>1.6092731618195199E-2</v>
      </c>
      <c r="I296" s="1">
        <v>-3.7043100581081998E-3</v>
      </c>
      <c r="J296" s="1">
        <v>1</v>
      </c>
      <c r="K296" s="1" t="s">
        <v>17</v>
      </c>
      <c r="L296" s="1">
        <v>1</v>
      </c>
      <c r="M296" s="1" t="s">
        <v>18</v>
      </c>
      <c r="N296" s="3" t="s">
        <v>1562</v>
      </c>
      <c r="O296" s="1"/>
    </row>
    <row r="297" spans="1:15" x14ac:dyDescent="0.25">
      <c r="A297" s="2" t="s">
        <v>705</v>
      </c>
      <c r="B297" s="1" t="s">
        <v>394</v>
      </c>
      <c r="C297" s="1" t="s">
        <v>706</v>
      </c>
      <c r="D297" s="1" t="s">
        <v>707</v>
      </c>
      <c r="E297" s="1" t="str">
        <f>VLOOKUP(Table1[[#This Row],[Navn DK]],product_nodes_new_id!A:C,3,FALSE)</f>
        <v>bc168ed1-34e1-4c38-a9af-378fdd05dc1f</v>
      </c>
      <c r="F297" s="1">
        <v>2.52954608675486</v>
      </c>
      <c r="G297" s="1">
        <v>0</v>
      </c>
      <c r="H297" s="1">
        <v>1.6092731618195199E-2</v>
      </c>
      <c r="I297" s="1">
        <v>-4.6668473173016797E-3</v>
      </c>
      <c r="J297" s="1">
        <v>1</v>
      </c>
      <c r="K297" s="1" t="s">
        <v>17</v>
      </c>
      <c r="L297" s="1">
        <v>1</v>
      </c>
      <c r="M297" s="1" t="s">
        <v>18</v>
      </c>
      <c r="N297" s="3" t="s">
        <v>1611</v>
      </c>
      <c r="O297" s="1"/>
    </row>
    <row r="298" spans="1:15" x14ac:dyDescent="0.25">
      <c r="A298" s="2" t="s">
        <v>497</v>
      </c>
      <c r="B298" s="1" t="s">
        <v>394</v>
      </c>
      <c r="C298" s="1" t="s">
        <v>498</v>
      </c>
      <c r="D298" s="1" t="s">
        <v>499</v>
      </c>
      <c r="E298" s="1" t="str">
        <f>VLOOKUP(Table1[[#This Row],[Navn DK]],product_nodes_new_id!A:C,3,FALSE)</f>
        <v>fed7923e-2a4f-45a5-8504-b536f7c5ca6e</v>
      </c>
      <c r="F298" s="1">
        <v>0.93025052872928604</v>
      </c>
      <c r="G298" s="1">
        <v>0</v>
      </c>
      <c r="H298" s="1">
        <v>1.7601035296446899E-2</v>
      </c>
      <c r="I298" s="1">
        <v>0</v>
      </c>
      <c r="J298" s="1">
        <v>1</v>
      </c>
      <c r="K298" s="1" t="s">
        <v>17</v>
      </c>
      <c r="L298" s="1">
        <v>0.2</v>
      </c>
      <c r="M298" s="1" t="s">
        <v>25</v>
      </c>
      <c r="N298" s="3" t="s">
        <v>1563</v>
      </c>
      <c r="O298" s="1"/>
    </row>
    <row r="299" spans="1:15" x14ac:dyDescent="0.25">
      <c r="A299" s="2" t="s">
        <v>856</v>
      </c>
      <c r="B299" s="1" t="s">
        <v>394</v>
      </c>
      <c r="C299" s="1" t="s">
        <v>857</v>
      </c>
      <c r="D299" s="1" t="s">
        <v>858</v>
      </c>
      <c r="E299" s="1" t="str">
        <f>VLOOKUP(Table1[[#This Row],[Navn DK]],product_nodes_new_id!A:C,3,FALSE)</f>
        <v>7eb95a56-991e-4960-a9cf-c562f09c0c9d</v>
      </c>
      <c r="F299" s="1">
        <v>2.2227890226729299</v>
      </c>
      <c r="G299" s="1">
        <v>0.14402772756132601</v>
      </c>
      <c r="H299" s="1">
        <v>0</v>
      </c>
      <c r="I299" s="1">
        <v>-3.1226034434267101E-2</v>
      </c>
      <c r="J299" s="1">
        <v>1</v>
      </c>
      <c r="K299" s="1" t="s">
        <v>24</v>
      </c>
      <c r="L299" s="1">
        <v>0.21</v>
      </c>
      <c r="M299" s="1" t="s">
        <v>25</v>
      </c>
      <c r="N299" s="3" t="s">
        <v>859</v>
      </c>
      <c r="O299" s="1"/>
    </row>
    <row r="300" spans="1:15" x14ac:dyDescent="0.25">
      <c r="A300" s="2" t="s">
        <v>864</v>
      </c>
      <c r="B300" s="1" t="s">
        <v>394</v>
      </c>
      <c r="C300" s="1" t="s">
        <v>865</v>
      </c>
      <c r="D300" s="1" t="s">
        <v>866</v>
      </c>
      <c r="E300" s="1" t="str">
        <f>VLOOKUP(Table1[[#This Row],[Navn DK]],product_nodes_new_id!A:C,3,FALSE)</f>
        <v>d3c7d9a8-23f7-44e0-8cf0-8355153c7207</v>
      </c>
      <c r="F300" s="1">
        <v>1.97676905813406</v>
      </c>
      <c r="G300" s="1">
        <v>0.248515274162286</v>
      </c>
      <c r="H300" s="1">
        <v>0</v>
      </c>
      <c r="I300" s="1">
        <v>-5.3902083249627801E-2</v>
      </c>
      <c r="J300" s="1">
        <v>1</v>
      </c>
      <c r="K300" s="1" t="s">
        <v>24</v>
      </c>
      <c r="L300" s="1">
        <v>0.28999999999999998</v>
      </c>
      <c r="M300" s="1" t="s">
        <v>25</v>
      </c>
      <c r="N300" s="3" t="s">
        <v>1631</v>
      </c>
      <c r="O300" s="1"/>
    </row>
    <row r="301" spans="1:15" x14ac:dyDescent="0.25">
      <c r="A301" s="2" t="s">
        <v>634</v>
      </c>
      <c r="B301" s="1" t="s">
        <v>394</v>
      </c>
      <c r="C301" s="1" t="s">
        <v>635</v>
      </c>
      <c r="D301" s="1" t="s">
        <v>636</v>
      </c>
      <c r="E301" s="1" t="str">
        <f>VLOOKUP(Table1[[#This Row],[Navn DK]],product_nodes_new_id!A:C,3,FALSE)</f>
        <v>af3933d4-548e-44e7-8d21-55098bad3fa6</v>
      </c>
      <c r="F301" s="1">
        <v>3.0821664196198899</v>
      </c>
      <c r="G301" s="1">
        <v>0.68584632172059901</v>
      </c>
      <c r="H301" s="1">
        <v>0</v>
      </c>
      <c r="I301" s="1">
        <v>-0.14869540206793899</v>
      </c>
      <c r="J301" s="1">
        <v>1</v>
      </c>
      <c r="K301" s="1" t="s">
        <v>17</v>
      </c>
      <c r="L301" s="1">
        <v>1</v>
      </c>
      <c r="M301" s="1" t="s">
        <v>18</v>
      </c>
      <c r="N301" s="3" t="s">
        <v>637</v>
      </c>
      <c r="O301" s="1"/>
    </row>
    <row r="302" spans="1:15" x14ac:dyDescent="0.25">
      <c r="A302" s="2" t="s">
        <v>490</v>
      </c>
      <c r="B302" s="1" t="s">
        <v>394</v>
      </c>
      <c r="C302" s="1" t="s">
        <v>491</v>
      </c>
      <c r="D302" s="1" t="s">
        <v>492</v>
      </c>
      <c r="E302" s="1" t="str">
        <f>VLOOKUP(Table1[[#This Row],[Navn DK]],product_nodes_new_id!A:C,3,FALSE)</f>
        <v>23017d47-f291-4bb4-a103-891ec9be0f99</v>
      </c>
      <c r="F302" s="1">
        <v>3.37882123084204</v>
      </c>
      <c r="G302" s="1">
        <v>0.91398352109214998</v>
      </c>
      <c r="H302" s="1">
        <v>0</v>
      </c>
      <c r="I302" s="1">
        <v>-0.198260536090585</v>
      </c>
      <c r="J302" s="1">
        <v>1</v>
      </c>
      <c r="K302" s="1" t="s">
        <v>17</v>
      </c>
      <c r="L302" s="1">
        <v>1</v>
      </c>
      <c r="M302" s="1" t="s">
        <v>18</v>
      </c>
      <c r="N302" s="3" t="s">
        <v>493</v>
      </c>
      <c r="O302" s="1"/>
    </row>
    <row r="303" spans="1:15" x14ac:dyDescent="0.25">
      <c r="A303" s="2" t="s">
        <v>618</v>
      </c>
      <c r="B303" s="1" t="s">
        <v>394</v>
      </c>
      <c r="C303" s="1" t="s">
        <v>619</v>
      </c>
      <c r="D303" s="1" t="s">
        <v>620</v>
      </c>
      <c r="E303" s="1" t="str">
        <f>VLOOKUP(Table1[[#This Row],[Navn DK]],product_nodes_new_id!A:C,3,FALSE)</f>
        <v>b2ce0770-587e-4163-91c1-2d4190fec8f0</v>
      </c>
      <c r="F303" s="1">
        <v>1.9142277082844299</v>
      </c>
      <c r="G303" s="1">
        <v>0.91398352109214998</v>
      </c>
      <c r="H303" s="1">
        <v>0</v>
      </c>
      <c r="I303" s="1">
        <v>-0.198260536090585</v>
      </c>
      <c r="J303" s="1">
        <v>1</v>
      </c>
      <c r="K303" s="1" t="s">
        <v>17</v>
      </c>
      <c r="L303" s="1">
        <v>1</v>
      </c>
      <c r="M303" s="1" t="s">
        <v>18</v>
      </c>
      <c r="N303" s="3" t="s">
        <v>1588</v>
      </c>
      <c r="O303" s="1"/>
    </row>
    <row r="304" spans="1:15" x14ac:dyDescent="0.25">
      <c r="A304" s="2" t="s">
        <v>845</v>
      </c>
      <c r="B304" s="1" t="s">
        <v>394</v>
      </c>
      <c r="C304" s="1" t="s">
        <v>846</v>
      </c>
      <c r="D304" s="1" t="s">
        <v>847</v>
      </c>
      <c r="E304" s="1" t="str">
        <f>VLOOKUP(Table1[[#This Row],[Navn DK]],product_nodes_new_id!A:C,3,FALSE)</f>
        <v>822ad4e1-2369-433d-b660-bdb2459b8676</v>
      </c>
      <c r="F304" s="1">
        <v>3.7661577182783601</v>
      </c>
      <c r="G304" s="1">
        <v>0.205581729683466</v>
      </c>
      <c r="H304" s="1">
        <v>0</v>
      </c>
      <c r="I304" s="1">
        <v>-4.4608620620381699E-2</v>
      </c>
      <c r="J304" s="1">
        <v>1</v>
      </c>
      <c r="K304" s="1" t="s">
        <v>24</v>
      </c>
      <c r="L304" s="1">
        <v>0.18</v>
      </c>
      <c r="M304" s="1" t="s">
        <v>25</v>
      </c>
      <c r="N304" s="3" t="s">
        <v>1630</v>
      </c>
      <c r="O304" s="1"/>
    </row>
    <row r="305" spans="1:15" x14ac:dyDescent="0.25">
      <c r="A305" s="2" t="s">
        <v>589</v>
      </c>
      <c r="B305" s="1" t="s">
        <v>394</v>
      </c>
      <c r="C305" s="1" t="s">
        <v>590</v>
      </c>
      <c r="D305" s="1" t="s">
        <v>591</v>
      </c>
      <c r="E305" s="1" t="str">
        <f>VLOOKUP(Table1[[#This Row],[Navn DK]],product_nodes_new_id!A:C,3,FALSE)</f>
        <v>8df7dd55-6b9c-4013-82fd-e31c66ab297d</v>
      </c>
      <c r="F305" s="1">
        <v>4.5430016741426096</v>
      </c>
      <c r="G305" s="1">
        <v>1.04698018802144</v>
      </c>
      <c r="H305" s="1">
        <v>0</v>
      </c>
      <c r="I305" s="1">
        <v>-0.27013891778167998</v>
      </c>
      <c r="J305" s="1">
        <v>1</v>
      </c>
      <c r="K305" s="1" t="s">
        <v>17</v>
      </c>
      <c r="L305" s="1">
        <v>1</v>
      </c>
      <c r="M305" s="1" t="s">
        <v>18</v>
      </c>
      <c r="N305" s="3" t="s">
        <v>592</v>
      </c>
      <c r="O305" s="1"/>
    </row>
    <row r="306" spans="1:15" x14ac:dyDescent="0.25">
      <c r="A306" s="2" t="s">
        <v>557</v>
      </c>
      <c r="B306" s="1" t="s">
        <v>394</v>
      </c>
      <c r="C306" s="1" t="s">
        <v>558</v>
      </c>
      <c r="D306" s="1" t="s">
        <v>559</v>
      </c>
      <c r="E306" s="1" t="str">
        <f>VLOOKUP(Table1[[#This Row],[Navn DK]],product_nodes_new_id!A:C,3,FALSE)</f>
        <v>ac23d500-9749-4cde-9510-018b1e1fe9b8</v>
      </c>
      <c r="F306" s="1">
        <v>2.5296284420456301</v>
      </c>
      <c r="G306" s="1">
        <v>0.83784752621973202</v>
      </c>
      <c r="H306" s="1">
        <v>0</v>
      </c>
      <c r="I306" s="1">
        <v>-0.21961126971332101</v>
      </c>
      <c r="J306" s="1">
        <v>1</v>
      </c>
      <c r="K306" s="1" t="s">
        <v>17</v>
      </c>
      <c r="L306" s="1">
        <v>1</v>
      </c>
      <c r="M306" s="1" t="s">
        <v>18</v>
      </c>
      <c r="N306" s="3" t="s">
        <v>1575</v>
      </c>
      <c r="O306" s="1"/>
    </row>
    <row r="307" spans="1:15" x14ac:dyDescent="0.25">
      <c r="A307" s="2" t="s">
        <v>615</v>
      </c>
      <c r="B307" s="1" t="s">
        <v>394</v>
      </c>
      <c r="C307" s="1" t="s">
        <v>616</v>
      </c>
      <c r="D307" s="1" t="s">
        <v>617</v>
      </c>
      <c r="E307" s="1" t="str">
        <f>VLOOKUP(Table1[[#This Row],[Navn DK]],product_nodes_new_id!A:C,3,FALSE)</f>
        <v>9936ad7e-7995-46e0-8c80-ff97a8993cda</v>
      </c>
      <c r="F307" s="1">
        <v>2.5677333634122101</v>
      </c>
      <c r="G307" s="1">
        <v>0.83784752621973202</v>
      </c>
      <c r="H307" s="1">
        <v>0</v>
      </c>
      <c r="I307" s="1">
        <v>-0.21961126971332101</v>
      </c>
      <c r="J307" s="1">
        <v>1</v>
      </c>
      <c r="K307" s="1" t="s">
        <v>17</v>
      </c>
      <c r="L307" s="1">
        <v>1</v>
      </c>
      <c r="M307" s="1" t="s">
        <v>18</v>
      </c>
      <c r="N307" s="3" t="s">
        <v>1587</v>
      </c>
      <c r="O307" s="1"/>
    </row>
    <row r="308" spans="1:15" x14ac:dyDescent="0.25">
      <c r="A308" s="2" t="s">
        <v>434</v>
      </c>
      <c r="B308" s="1" t="s">
        <v>394</v>
      </c>
      <c r="C308" s="1" t="s">
        <v>435</v>
      </c>
      <c r="D308" s="1" t="s">
        <v>436</v>
      </c>
      <c r="E308" s="1" t="str">
        <f>VLOOKUP(Table1[[#This Row],[Navn DK]],product_nodes_new_id!A:C,3,FALSE)</f>
        <v>d278d638-6032-4a8b-9c3d-b46c36762f6d</v>
      </c>
      <c r="F308" s="1">
        <v>1.8930359501590199</v>
      </c>
      <c r="G308" s="1">
        <v>0.78556436076930503</v>
      </c>
      <c r="H308" s="1">
        <v>0</v>
      </c>
      <c r="I308" s="1">
        <v>-0.20505428317784399</v>
      </c>
      <c r="J308" s="1">
        <v>1</v>
      </c>
      <c r="K308" s="1" t="s">
        <v>17</v>
      </c>
      <c r="L308" s="1">
        <v>1</v>
      </c>
      <c r="M308" s="1" t="s">
        <v>18</v>
      </c>
      <c r="N308" s="3" t="s">
        <v>437</v>
      </c>
      <c r="O308" s="1"/>
    </row>
    <row r="309" spans="1:15" x14ac:dyDescent="0.25">
      <c r="A309" s="2" t="s">
        <v>724</v>
      </c>
      <c r="B309" s="1" t="s">
        <v>394</v>
      </c>
      <c r="C309" s="1" t="s">
        <v>725</v>
      </c>
      <c r="D309" s="1" t="s">
        <v>726</v>
      </c>
      <c r="E309" s="1" t="str">
        <f>VLOOKUP(Table1[[#This Row],[Navn DK]],product_nodes_new_id!A:C,3,FALSE)</f>
        <v>3e457995-5687-4f80-abd1-c255f560b1c0</v>
      </c>
      <c r="F309" s="1">
        <v>1.9083314321377201</v>
      </c>
      <c r="G309" s="1">
        <v>0.85694922124926298</v>
      </c>
      <c r="H309" s="1">
        <v>0</v>
      </c>
      <c r="I309" s="1">
        <v>-0.18586925258492301</v>
      </c>
      <c r="J309" s="1">
        <v>1</v>
      </c>
      <c r="K309" s="1" t="s">
        <v>17</v>
      </c>
      <c r="L309" s="1">
        <v>1</v>
      </c>
      <c r="M309" s="1" t="s">
        <v>18</v>
      </c>
      <c r="N309" s="3" t="s">
        <v>727</v>
      </c>
      <c r="O309" s="1"/>
    </row>
    <row r="310" spans="1:15" x14ac:dyDescent="0.25">
      <c r="A310" s="2" t="s">
        <v>549</v>
      </c>
      <c r="B310" s="1" t="s">
        <v>394</v>
      </c>
      <c r="C310" s="1" t="s">
        <v>550</v>
      </c>
      <c r="D310" s="1" t="s">
        <v>551</v>
      </c>
      <c r="E310" s="1" t="str">
        <f>VLOOKUP(Table1[[#This Row],[Navn DK]],product_nodes_new_id!A:C,3,FALSE)</f>
        <v>9b4a6f81-7521-4ecb-b4f7-3a6310a8874d</v>
      </c>
      <c r="F310" s="1">
        <v>1.8930359501590199</v>
      </c>
      <c r="G310" s="1">
        <v>0.78556436076930503</v>
      </c>
      <c r="H310" s="1">
        <v>0</v>
      </c>
      <c r="I310" s="1">
        <v>-0.20505428317784399</v>
      </c>
      <c r="J310" s="1">
        <v>1</v>
      </c>
      <c r="K310" s="1" t="s">
        <v>17</v>
      </c>
      <c r="L310" s="1">
        <v>1</v>
      </c>
      <c r="M310" s="1" t="s">
        <v>18</v>
      </c>
      <c r="N310" s="3" t="s">
        <v>552</v>
      </c>
      <c r="O310" s="1"/>
    </row>
    <row r="311" spans="1:15" x14ac:dyDescent="0.25">
      <c r="A311" s="2" t="s">
        <v>737</v>
      </c>
      <c r="B311" s="1" t="s">
        <v>394</v>
      </c>
      <c r="C311" s="1" t="s">
        <v>738</v>
      </c>
      <c r="D311" s="1" t="s">
        <v>739</v>
      </c>
      <c r="E311" s="1" t="str">
        <f>VLOOKUP(Table1[[#This Row],[Navn DK]],product_nodes_new_id!A:C,3,FALSE)</f>
        <v>8c42d960-43f5-4f4f-8d3c-d3b8755ff9ec</v>
      </c>
      <c r="F311" s="1">
        <v>1.9571546883344699</v>
      </c>
      <c r="G311" s="1">
        <v>0.78556436076930503</v>
      </c>
      <c r="H311" s="1">
        <v>0</v>
      </c>
      <c r="I311" s="1">
        <v>-0.20517095436077601</v>
      </c>
      <c r="J311" s="1">
        <v>1</v>
      </c>
      <c r="K311" s="1" t="s">
        <v>17</v>
      </c>
      <c r="L311" s="1">
        <v>1</v>
      </c>
      <c r="M311" s="1" t="s">
        <v>18</v>
      </c>
      <c r="N311" s="3" t="s">
        <v>740</v>
      </c>
      <c r="O311" s="1"/>
    </row>
    <row r="312" spans="1:15" x14ac:dyDescent="0.25">
      <c r="A312" s="2" t="s">
        <v>147</v>
      </c>
      <c r="B312" s="1" t="s">
        <v>130</v>
      </c>
      <c r="C312" s="1" t="s">
        <v>22</v>
      </c>
      <c r="D312" s="1" t="s">
        <v>148</v>
      </c>
      <c r="E312" s="1" t="str">
        <f>VLOOKUP(Table1[[#This Row],[Navn DK]],product_nodes_new_id!A:C,3,FALSE)</f>
        <v>da4a81e3-cdc5-428b-91ca-25aaed5c01a9</v>
      </c>
      <c r="F312" s="1">
        <v>-1.1909700000000001</v>
      </c>
      <c r="G312" s="1">
        <v>1.7820000000000003</v>
      </c>
      <c r="H312" s="1">
        <v>0</v>
      </c>
      <c r="I312" s="1">
        <v>-0.42749999999999999</v>
      </c>
      <c r="J312" s="1">
        <v>1</v>
      </c>
      <c r="K312" s="1" t="s">
        <v>17</v>
      </c>
      <c r="L312" s="1">
        <v>43.75</v>
      </c>
      <c r="M312" s="1" t="s">
        <v>69</v>
      </c>
      <c r="N312" s="3" t="s">
        <v>133</v>
      </c>
      <c r="O312" s="1"/>
    </row>
    <row r="313" spans="1:15" x14ac:dyDescent="0.25">
      <c r="A313" s="2" t="s">
        <v>1171</v>
      </c>
      <c r="B313" s="1" t="s">
        <v>394</v>
      </c>
      <c r="C313" s="1" t="s">
        <v>1172</v>
      </c>
      <c r="D313" s="1" t="s">
        <v>1173</v>
      </c>
      <c r="E313" s="1" t="str">
        <f>VLOOKUP(Table1[[#This Row],[Navn DK]],product_nodes_new_id!A:C,3,FALSE)</f>
        <v>90c4df7f-f139-4640-a645-11d3a43ef07c</v>
      </c>
      <c r="F313" s="1">
        <v>-1.17357533435774</v>
      </c>
      <c r="G313" s="1">
        <v>148.031473589413</v>
      </c>
      <c r="H313" s="1">
        <v>0</v>
      </c>
      <c r="I313" s="1">
        <v>-30.769328030528001</v>
      </c>
      <c r="J313" s="1">
        <v>1</v>
      </c>
      <c r="K313" s="1" t="s">
        <v>68</v>
      </c>
      <c r="L313" s="1">
        <v>80</v>
      </c>
      <c r="M313" s="1" t="s">
        <v>69</v>
      </c>
      <c r="N313" s="3" t="s">
        <v>1671</v>
      </c>
      <c r="O313" s="1"/>
    </row>
    <row r="314" spans="1:15" x14ac:dyDescent="0.25">
      <c r="A314" s="2" t="s">
        <v>807</v>
      </c>
      <c r="B314" s="1" t="s">
        <v>394</v>
      </c>
      <c r="C314" s="1" t="s">
        <v>808</v>
      </c>
      <c r="D314" s="1" t="s">
        <v>809</v>
      </c>
      <c r="E314" s="1" t="str">
        <f>VLOOKUP(Table1[[#This Row],[Navn DK]],product_nodes_new_id!A:C,3,FALSE)</f>
        <v>628d8ff8-bf39-4e90-aa75-06db8009fe5b</v>
      </c>
      <c r="F314" s="1">
        <v>-3.86</v>
      </c>
      <c r="G314" s="1">
        <v>11.88</v>
      </c>
      <c r="H314" s="1">
        <v>0</v>
      </c>
      <c r="I314" s="1">
        <v>-3.3330000000000002</v>
      </c>
      <c r="J314" s="1">
        <v>1</v>
      </c>
      <c r="K314" s="1" t="s">
        <v>24</v>
      </c>
      <c r="L314" s="1">
        <v>6.5</v>
      </c>
      <c r="M314" s="1" t="s">
        <v>25</v>
      </c>
      <c r="N314" s="15" t="s">
        <v>810</v>
      </c>
      <c r="O314" s="1"/>
    </row>
    <row r="315" spans="1:15" x14ac:dyDescent="0.25">
      <c r="A315" s="2" t="s">
        <v>1370</v>
      </c>
      <c r="B315" s="1" t="s">
        <v>394</v>
      </c>
      <c r="C315" s="1" t="s">
        <v>1371</v>
      </c>
      <c r="D315" s="1" t="s">
        <v>1372</v>
      </c>
      <c r="E315" s="1" t="str">
        <f>VLOOKUP(Table1[[#This Row],[Navn DK]],product_nodes_new_id!A:C,3,FALSE)</f>
        <v>03faf709-dd79-419f-90cb-cd2581910e7d</v>
      </c>
      <c r="F315" s="1">
        <v>1146.8881409606199</v>
      </c>
      <c r="G315" s="1">
        <v>0</v>
      </c>
      <c r="H315" s="1">
        <v>3.5270160835328301</v>
      </c>
      <c r="I315" s="1">
        <v>-343.029346505668</v>
      </c>
      <c r="J315" s="1">
        <v>1</v>
      </c>
      <c r="K315" s="1" t="s">
        <v>123</v>
      </c>
      <c r="L315" s="1">
        <v>335</v>
      </c>
      <c r="M315" s="1" t="s">
        <v>124</v>
      </c>
      <c r="N315" s="3" t="s">
        <v>1681</v>
      </c>
      <c r="O315" s="1"/>
    </row>
    <row r="316" spans="1:15" x14ac:dyDescent="0.25">
      <c r="A316" s="2" t="s">
        <v>657</v>
      </c>
      <c r="B316" s="1" t="s">
        <v>394</v>
      </c>
      <c r="C316" s="1" t="s">
        <v>658</v>
      </c>
      <c r="D316" s="1" t="s">
        <v>659</v>
      </c>
      <c r="E316" s="1" t="str">
        <f>VLOOKUP(Table1[[#This Row],[Navn DK]],product_nodes_new_id!A:C,3,FALSE)</f>
        <v>96b5bf91-b294-4805-9005-cd0b7c4b0133</v>
      </c>
      <c r="F316" s="1">
        <v>4.1333606991589902E-2</v>
      </c>
      <c r="G316" s="1">
        <v>0</v>
      </c>
      <c r="H316" s="1">
        <v>0</v>
      </c>
      <c r="I316" s="1">
        <v>0</v>
      </c>
      <c r="J316" s="1">
        <v>1</v>
      </c>
      <c r="K316" s="1" t="s">
        <v>17</v>
      </c>
      <c r="L316" s="1">
        <v>1</v>
      </c>
      <c r="M316" s="1" t="s">
        <v>18</v>
      </c>
      <c r="N316" s="3" t="s">
        <v>1597</v>
      </c>
      <c r="O316" s="1"/>
    </row>
    <row r="317" spans="1:15" x14ac:dyDescent="0.25">
      <c r="A317" s="2" t="s">
        <v>532</v>
      </c>
      <c r="B317" s="1" t="s">
        <v>394</v>
      </c>
      <c r="C317" s="1" t="s">
        <v>533</v>
      </c>
      <c r="D317" s="1" t="s">
        <v>534</v>
      </c>
      <c r="E317" s="1" t="str">
        <f>VLOOKUP(Table1[[#This Row],[Navn DK]],product_nodes_new_id!A:C,3,FALSE)</f>
        <v>4cbf5a9a-57bd-49cd-9620-c782a17367bf</v>
      </c>
      <c r="F317" s="1">
        <v>0.565071465503026</v>
      </c>
      <c r="G317" s="1">
        <v>0</v>
      </c>
      <c r="H317" s="1">
        <v>0</v>
      </c>
      <c r="I317" s="1">
        <v>0</v>
      </c>
      <c r="J317" s="1">
        <v>1</v>
      </c>
      <c r="K317" s="1" t="s">
        <v>17</v>
      </c>
      <c r="L317" s="1">
        <v>1</v>
      </c>
      <c r="M317" s="1" t="s">
        <v>18</v>
      </c>
      <c r="N317" s="3" t="s">
        <v>1572</v>
      </c>
      <c r="O317" s="1"/>
    </row>
    <row r="318" spans="1:15" x14ac:dyDescent="0.25">
      <c r="A318" s="2" t="s">
        <v>322</v>
      </c>
      <c r="B318" s="1" t="s">
        <v>130</v>
      </c>
      <c r="C318" s="1" t="s">
        <v>22</v>
      </c>
      <c r="D318" s="1" t="s">
        <v>323</v>
      </c>
      <c r="E318" s="1" t="str">
        <f>VLOOKUP(Table1[[#This Row],[Navn DK]],product_nodes_new_id!A:C,3,FALSE)</f>
        <v>8d910423-ad8d-4fdf-a977-7d651fb85474</v>
      </c>
      <c r="F318" s="1">
        <v>22.990000000000002</v>
      </c>
      <c r="G318" s="1">
        <v>0.6633</v>
      </c>
      <c r="H318" s="1">
        <v>0</v>
      </c>
      <c r="I318" s="1">
        <v>-7.0740000000000007</v>
      </c>
      <c r="J318" s="1">
        <v>1</v>
      </c>
      <c r="K318" s="1" t="s">
        <v>68</v>
      </c>
      <c r="L318" s="1">
        <v>85</v>
      </c>
      <c r="M318" s="1" t="s">
        <v>69</v>
      </c>
      <c r="N318" s="3" t="s">
        <v>133</v>
      </c>
      <c r="O318" s="1"/>
    </row>
    <row r="319" spans="1:15" x14ac:dyDescent="0.25">
      <c r="A319" s="2" t="s">
        <v>163</v>
      </c>
      <c r="B319" s="1" t="s">
        <v>130</v>
      </c>
      <c r="C319" s="1" t="s">
        <v>22</v>
      </c>
      <c r="D319" s="1" t="s">
        <v>164</v>
      </c>
      <c r="E319" s="1" t="str">
        <f>VLOOKUP(Table1[[#This Row],[Navn DK]],product_nodes_new_id!A:C,3,FALSE)</f>
        <v>13152ba5-12fe-40da-9af3-1399f1daec8e</v>
      </c>
      <c r="F319" s="1">
        <v>0.60409800000000002</v>
      </c>
      <c r="G319" s="1">
        <v>0.53816400000000009</v>
      </c>
      <c r="H319" s="1">
        <v>3.51054E-4</v>
      </c>
      <c r="I319" s="1">
        <v>-2.5660800000000001E-2</v>
      </c>
      <c r="J319" s="1">
        <v>1</v>
      </c>
      <c r="K319" s="1" t="s">
        <v>165</v>
      </c>
      <c r="L319" s="1">
        <v>0.16200000000000001</v>
      </c>
      <c r="M319" s="1" t="s">
        <v>160</v>
      </c>
      <c r="N319" s="3" t="s">
        <v>133</v>
      </c>
      <c r="O319" s="1"/>
    </row>
    <row r="320" spans="1:15" x14ac:dyDescent="0.25">
      <c r="A320" s="2" t="s">
        <v>166</v>
      </c>
      <c r="B320" s="1" t="s">
        <v>130</v>
      </c>
      <c r="C320" s="1" t="s">
        <v>22</v>
      </c>
      <c r="D320" s="1" t="s">
        <v>167</v>
      </c>
      <c r="E320" s="1" t="str">
        <f>VLOOKUP(Table1[[#This Row],[Navn DK]],product_nodes_new_id!A:C,3,FALSE)</f>
        <v>b3eed364-5c82-4eaf-b364-4907e0d6a7e6</v>
      </c>
      <c r="F320" s="1">
        <v>0.74580000000000013</v>
      </c>
      <c r="G320" s="1">
        <v>0.6644000000000001</v>
      </c>
      <c r="H320" s="1">
        <v>4.3340000000000007E-4</v>
      </c>
      <c r="I320" s="1">
        <v>-3.168E-2</v>
      </c>
      <c r="J320" s="1">
        <v>1</v>
      </c>
      <c r="K320" s="1" t="s">
        <v>168</v>
      </c>
      <c r="L320" s="1">
        <v>0.2</v>
      </c>
      <c r="M320" s="1" t="s">
        <v>160</v>
      </c>
      <c r="N320" s="3" t="s">
        <v>133</v>
      </c>
      <c r="O320" s="1"/>
    </row>
    <row r="321" spans="1:15" x14ac:dyDescent="0.25">
      <c r="A321" s="2" t="s">
        <v>172</v>
      </c>
      <c r="B321" s="1" t="s">
        <v>130</v>
      </c>
      <c r="C321" s="1" t="s">
        <v>22</v>
      </c>
      <c r="D321" s="1" t="s">
        <v>173</v>
      </c>
      <c r="E321" s="1" t="str">
        <f>VLOOKUP(Table1[[#This Row],[Navn DK]],product_nodes_new_id!A:C,3,FALSE)</f>
        <v>6b4dc368-53d8-4e1b-b449-1aa7fb14b542</v>
      </c>
      <c r="F321" s="1">
        <v>0.77563199999999999</v>
      </c>
      <c r="G321" s="1">
        <v>0.69097600000000003</v>
      </c>
      <c r="H321" s="1">
        <v>4.5073599999999998E-4</v>
      </c>
      <c r="I321" s="1">
        <v>-3.2947199999999996E-2</v>
      </c>
      <c r="J321" s="1">
        <v>1</v>
      </c>
      <c r="K321" s="1" t="s">
        <v>174</v>
      </c>
      <c r="L321" s="1">
        <v>0.20799999999999999</v>
      </c>
      <c r="M321" s="1" t="s">
        <v>160</v>
      </c>
      <c r="N321" s="3" t="s">
        <v>133</v>
      </c>
      <c r="O321" s="1"/>
    </row>
    <row r="322" spans="1:15" x14ac:dyDescent="0.25">
      <c r="A322" s="2" t="s">
        <v>178</v>
      </c>
      <c r="B322" s="1" t="s">
        <v>130</v>
      </c>
      <c r="C322" s="1" t="s">
        <v>22</v>
      </c>
      <c r="D322" s="1" t="s">
        <v>179</v>
      </c>
      <c r="E322" s="1" t="str">
        <f>VLOOKUP(Table1[[#This Row],[Navn DK]],product_nodes_new_id!A:C,3,FALSE)</f>
        <v>8574e32b-e88e-4347-81c1-2f58631f880e</v>
      </c>
      <c r="F322" s="1">
        <v>1.1187</v>
      </c>
      <c r="G322" s="1">
        <v>0.99660000000000004</v>
      </c>
      <c r="H322" s="1">
        <v>6.5010000000000003E-4</v>
      </c>
      <c r="I322" s="1">
        <v>-4.7519999999999993E-2</v>
      </c>
      <c r="J322" s="1">
        <v>1</v>
      </c>
      <c r="K322" s="1" t="s">
        <v>180</v>
      </c>
      <c r="L322" s="1">
        <v>0.3</v>
      </c>
      <c r="M322" s="1" t="s">
        <v>160</v>
      </c>
      <c r="N322" s="3" t="s">
        <v>133</v>
      </c>
      <c r="O322" s="1"/>
    </row>
    <row r="323" spans="1:15" x14ac:dyDescent="0.25">
      <c r="A323" s="2" t="s">
        <v>169</v>
      </c>
      <c r="B323" s="1" t="s">
        <v>130</v>
      </c>
      <c r="C323" s="1" t="s">
        <v>22</v>
      </c>
      <c r="D323" s="1" t="s">
        <v>170</v>
      </c>
      <c r="E323" s="1" t="str">
        <f>VLOOKUP(Table1[[#This Row],[Navn DK]],product_nodes_new_id!A:C,3,FALSE)</f>
        <v>701fc573-190a-4fcd-a44e-3ef91ea511c0</v>
      </c>
      <c r="F323" s="1">
        <v>0.34171499999999999</v>
      </c>
      <c r="G323" s="1">
        <v>0.36209800000000009</v>
      </c>
      <c r="H323" s="1">
        <v>2.35004E-4</v>
      </c>
      <c r="I323" s="1">
        <v>-1.7265599999999999E-2</v>
      </c>
      <c r="J323" s="1">
        <v>1</v>
      </c>
      <c r="K323" s="1" t="s">
        <v>171</v>
      </c>
      <c r="L323" s="1">
        <v>0.109</v>
      </c>
      <c r="M323" s="1" t="s">
        <v>160</v>
      </c>
      <c r="N323" s="3" t="s">
        <v>133</v>
      </c>
      <c r="O323" s="1"/>
    </row>
    <row r="324" spans="1:15" x14ac:dyDescent="0.25">
      <c r="A324" s="2" t="s">
        <v>175</v>
      </c>
      <c r="B324" s="1" t="s">
        <v>130</v>
      </c>
      <c r="C324" s="1" t="s">
        <v>22</v>
      </c>
      <c r="D324" s="1" t="s">
        <v>176</v>
      </c>
      <c r="E324" s="1" t="str">
        <f>VLOOKUP(Table1[[#This Row],[Navn DK]],product_nodes_new_id!A:C,3,FALSE)</f>
        <v>fbc21b15-91c1-4b99-ab6c-fbc7654016a7</v>
      </c>
      <c r="F324" s="1">
        <v>0.41382000000000008</v>
      </c>
      <c r="G324" s="1">
        <v>0.438504</v>
      </c>
      <c r="H324" s="1">
        <v>2.8459200000000002E-4</v>
      </c>
      <c r="I324" s="1">
        <v>-2.0908799999999998E-2</v>
      </c>
      <c r="J324" s="1">
        <v>1</v>
      </c>
      <c r="K324" s="1" t="s">
        <v>177</v>
      </c>
      <c r="L324" s="1">
        <v>0.13200000000000001</v>
      </c>
      <c r="M324" s="1" t="s">
        <v>160</v>
      </c>
      <c r="N324" s="3" t="s">
        <v>133</v>
      </c>
      <c r="O324" s="1"/>
    </row>
    <row r="325" spans="1:15" x14ac:dyDescent="0.25">
      <c r="A325" s="2" t="s">
        <v>1428</v>
      </c>
      <c r="B325" s="1" t="s">
        <v>394</v>
      </c>
      <c r="C325" s="1" t="s">
        <v>1429</v>
      </c>
      <c r="D325" s="1" t="s">
        <v>1430</v>
      </c>
      <c r="E325" s="1" t="str">
        <f>VLOOKUP(Table1[[#This Row],[Navn DK]],product_nodes_new_id!A:C,3,FALSE)</f>
        <v>a7cdae19-4611-4c94-87bc-cae3f7dc62ed</v>
      </c>
      <c r="F325" s="1">
        <v>2320.6480660780198</v>
      </c>
      <c r="G325" s="1">
        <v>0</v>
      </c>
      <c r="H325" s="1">
        <v>5.6562406049487297</v>
      </c>
      <c r="I325" s="1">
        <v>-856.04240933176402</v>
      </c>
      <c r="J325" s="1">
        <v>1</v>
      </c>
      <c r="K325" s="1" t="s">
        <v>123</v>
      </c>
      <c r="L325" s="1">
        <v>833</v>
      </c>
      <c r="M325" s="1" t="s">
        <v>124</v>
      </c>
      <c r="N325" s="3" t="s">
        <v>1684</v>
      </c>
      <c r="O325" s="1"/>
    </row>
    <row r="326" spans="1:15" x14ac:dyDescent="0.25">
      <c r="A326" s="2" t="s">
        <v>1188</v>
      </c>
      <c r="B326" s="1" t="s">
        <v>394</v>
      </c>
      <c r="C326" s="1" t="s">
        <v>1189</v>
      </c>
      <c r="D326" s="1" t="s">
        <v>1190</v>
      </c>
      <c r="E326" s="1" t="str">
        <f>VLOOKUP(Table1[[#This Row],[Navn DK]],product_nodes_new_id!A:C,3,FALSE)</f>
        <v>eb92e8dc-7f4a-465c-8738-ab0db9c2c4ef</v>
      </c>
      <c r="F326" s="1">
        <v>81.403353161811694</v>
      </c>
      <c r="G326" s="1">
        <v>6.6527682303328604</v>
      </c>
      <c r="H326" s="1">
        <v>0</v>
      </c>
      <c r="I326" s="1">
        <v>-1.2989078125601501</v>
      </c>
      <c r="J326" s="1">
        <v>1</v>
      </c>
      <c r="K326" s="1" t="s">
        <v>68</v>
      </c>
      <c r="L326" s="1">
        <v>900</v>
      </c>
      <c r="M326" s="1" t="s">
        <v>69</v>
      </c>
      <c r="N326" s="3" t="s">
        <v>1674</v>
      </c>
      <c r="O326" s="1"/>
    </row>
    <row r="327" spans="1:15" x14ac:dyDescent="0.25">
      <c r="A327" s="2" t="s">
        <v>660</v>
      </c>
      <c r="B327" s="1" t="s">
        <v>394</v>
      </c>
      <c r="C327" s="1" t="s">
        <v>661</v>
      </c>
      <c r="D327" s="1" t="s">
        <v>662</v>
      </c>
      <c r="E327" s="1" t="str">
        <f>VLOOKUP(Table1[[#This Row],[Navn DK]],product_nodes_new_id!A:C,3,FALSE)</f>
        <v>4ef57c58-db56-4fe4-a059-77f195fcfec6</v>
      </c>
      <c r="F327" s="1">
        <v>9.6865686742570196E-3</v>
      </c>
      <c r="G327" s="1">
        <v>0</v>
      </c>
      <c r="H327" s="1">
        <v>0</v>
      </c>
      <c r="I327" s="1">
        <v>0</v>
      </c>
      <c r="J327" s="1">
        <v>1</v>
      </c>
      <c r="K327" s="1" t="s">
        <v>17</v>
      </c>
      <c r="L327" s="1">
        <v>800</v>
      </c>
      <c r="M327" s="1" t="s">
        <v>69</v>
      </c>
      <c r="N327" s="3" t="s">
        <v>1598</v>
      </c>
      <c r="O327" s="1"/>
    </row>
    <row r="328" spans="1:15" x14ac:dyDescent="0.25">
      <c r="A328" s="2" t="s">
        <v>1463</v>
      </c>
      <c r="B328" s="1" t="s">
        <v>394</v>
      </c>
      <c r="C328" s="1" t="s">
        <v>1464</v>
      </c>
      <c r="D328" s="1" t="s">
        <v>1465</v>
      </c>
      <c r="E328" s="1" t="str">
        <f>VLOOKUP(Table1[[#This Row],[Navn DK]],product_nodes_new_id!A:C,3,FALSE)</f>
        <v>c6f7ada9-3332-49a4-86f6-ffc91ce3a414</v>
      </c>
      <c r="F328" s="1">
        <v>9.7094732776631699E-3</v>
      </c>
      <c r="G328" s="1">
        <v>0</v>
      </c>
      <c r="H328" s="1">
        <v>0</v>
      </c>
      <c r="I328" s="1">
        <v>0</v>
      </c>
      <c r="J328" s="1">
        <v>1</v>
      </c>
      <c r="K328" s="1" t="s">
        <v>17</v>
      </c>
      <c r="L328" s="1">
        <v>1</v>
      </c>
      <c r="M328" s="1" t="s">
        <v>18</v>
      </c>
      <c r="N328" s="3" t="s">
        <v>1466</v>
      </c>
      <c r="O328" s="1"/>
    </row>
    <row r="329" spans="1:15" x14ac:dyDescent="0.25">
      <c r="A329" s="2" t="s">
        <v>271</v>
      </c>
      <c r="B329" s="1" t="s">
        <v>130</v>
      </c>
      <c r="C329" s="1" t="s">
        <v>22</v>
      </c>
      <c r="D329" s="1" t="s">
        <v>272</v>
      </c>
      <c r="E329" s="1" t="str">
        <f>VLOOKUP(Table1[[#This Row],[Navn DK]],product_nodes_new_id!A:C,3,FALSE)</f>
        <v>faeaf612-eade-4488-86fe-8a7af75b13cf</v>
      </c>
      <c r="F329" s="1">
        <v>2.1816666666666671</v>
      </c>
      <c r="G329" s="1">
        <v>1.6477083333333336</v>
      </c>
      <c r="H329" s="1">
        <v>0</v>
      </c>
      <c r="I329" s="1">
        <v>-0.5300917431192661</v>
      </c>
      <c r="J329" s="1">
        <v>1</v>
      </c>
      <c r="K329" s="1" t="s">
        <v>248</v>
      </c>
      <c r="L329" s="1">
        <v>30</v>
      </c>
      <c r="M329" s="1" t="s">
        <v>69</v>
      </c>
      <c r="N329" s="3" t="s">
        <v>133</v>
      </c>
      <c r="O329" s="1"/>
    </row>
    <row r="330" spans="1:15" x14ac:dyDescent="0.25">
      <c r="A330" s="2" t="s">
        <v>1118</v>
      </c>
      <c r="B330" s="1" t="s">
        <v>394</v>
      </c>
      <c r="C330" s="1" t="s">
        <v>1119</v>
      </c>
      <c r="D330" s="1" t="s">
        <v>1120</v>
      </c>
      <c r="E330" s="1" t="str">
        <f>VLOOKUP(Table1[[#This Row],[Navn DK]],product_nodes_new_id!A:C,3,FALSE)</f>
        <v>e908d6a6-e62c-4ba6-9b37-425293a1392b</v>
      </c>
      <c r="F330" s="1">
        <v>99.151421734824794</v>
      </c>
      <c r="G330" s="1">
        <v>77.697080234908199</v>
      </c>
      <c r="H330" s="1">
        <v>0</v>
      </c>
      <c r="I330" s="1">
        <v>-25.041407330824299</v>
      </c>
      <c r="J330" s="1">
        <v>1</v>
      </c>
      <c r="K330" s="1" t="s">
        <v>68</v>
      </c>
      <c r="L330" s="1">
        <v>250</v>
      </c>
      <c r="M330" s="1" t="s">
        <v>69</v>
      </c>
      <c r="N330" s="3" t="s">
        <v>1121</v>
      </c>
      <c r="O330" s="1"/>
    </row>
    <row r="331" spans="1:15" x14ac:dyDescent="0.25">
      <c r="A331" s="2" t="s">
        <v>484</v>
      </c>
      <c r="B331" s="1" t="s">
        <v>394</v>
      </c>
      <c r="C331" s="1" t="s">
        <v>485</v>
      </c>
      <c r="D331" s="1" t="s">
        <v>486</v>
      </c>
      <c r="E331" s="1" t="str">
        <f>VLOOKUP(Table1[[#This Row],[Navn DK]],product_nodes_new_id!A:C,3,FALSE)</f>
        <v>ec617b8b-f7a0-4c5f-8e35-614171c79279</v>
      </c>
      <c r="F331" s="1">
        <v>5.8643813117150003</v>
      </c>
      <c r="G331" s="1">
        <v>3.5668544154498298</v>
      </c>
      <c r="H331" s="1">
        <v>0</v>
      </c>
      <c r="I331" s="1">
        <v>-0.88896202247642997</v>
      </c>
      <c r="J331" s="1">
        <v>1</v>
      </c>
      <c r="K331" s="1" t="s">
        <v>17</v>
      </c>
      <c r="L331" s="1">
        <v>1</v>
      </c>
      <c r="M331" s="1" t="s">
        <v>18</v>
      </c>
      <c r="N331" s="3" t="s">
        <v>1560</v>
      </c>
      <c r="O331" s="1"/>
    </row>
    <row r="332" spans="1:15" x14ac:dyDescent="0.25">
      <c r="A332" s="2" t="s">
        <v>717</v>
      </c>
      <c r="B332" s="1" t="s">
        <v>394</v>
      </c>
      <c r="C332" s="1" t="s">
        <v>718</v>
      </c>
      <c r="D332" s="1" t="s">
        <v>719</v>
      </c>
      <c r="E332" s="1" t="str">
        <f>VLOOKUP(Table1[[#This Row],[Navn DK]],product_nodes_new_id!A:C,3,FALSE)</f>
        <v>2ac976ac-99b2-4b70-9da2-07fe00dcd327</v>
      </c>
      <c r="F332" s="1">
        <v>4.1290229734925399</v>
      </c>
      <c r="G332" s="1">
        <v>3.1366605142171502</v>
      </c>
      <c r="H332" s="1">
        <v>0</v>
      </c>
      <c r="I332" s="1">
        <v>-1.30080934124409</v>
      </c>
      <c r="J332" s="1">
        <v>1</v>
      </c>
      <c r="K332" s="1" t="s">
        <v>17</v>
      </c>
      <c r="L332" s="1">
        <v>400</v>
      </c>
      <c r="M332" s="1" t="s">
        <v>69</v>
      </c>
      <c r="N332" s="3" t="s">
        <v>1615</v>
      </c>
      <c r="O332" s="1"/>
    </row>
    <row r="333" spans="1:15" x14ac:dyDescent="0.25">
      <c r="A333" s="2" t="s">
        <v>1072</v>
      </c>
      <c r="B333" s="1" t="s">
        <v>394</v>
      </c>
      <c r="C333" s="1" t="s">
        <v>1073</v>
      </c>
      <c r="D333" s="1" t="s">
        <v>1074</v>
      </c>
      <c r="E333" s="1" t="str">
        <f>VLOOKUP(Table1[[#This Row],[Navn DK]],product_nodes_new_id!A:C,3,FALSE)</f>
        <v>bc52ce9e-c786-4f30-9b00-b588fd94f69d</v>
      </c>
      <c r="F333" s="1">
        <v>5647.7243753965204</v>
      </c>
      <c r="G333" s="1">
        <v>3658.5618981544899</v>
      </c>
      <c r="H333" s="1">
        <v>0</v>
      </c>
      <c r="I333" s="1">
        <v>-1145.1298987482701</v>
      </c>
      <c r="J333" s="1">
        <v>1</v>
      </c>
      <c r="K333" s="1" t="s">
        <v>68</v>
      </c>
      <c r="L333" s="1">
        <v>1200</v>
      </c>
      <c r="M333" s="1" t="s">
        <v>69</v>
      </c>
      <c r="N333" s="3" t="s">
        <v>1654</v>
      </c>
      <c r="O333" s="1"/>
    </row>
    <row r="334" spans="1:15" x14ac:dyDescent="0.25">
      <c r="A334" s="2" t="s">
        <v>1062</v>
      </c>
      <c r="B334" s="1" t="s">
        <v>394</v>
      </c>
      <c r="C334" s="1" t="s">
        <v>1063</v>
      </c>
      <c r="D334" s="1" t="s">
        <v>1064</v>
      </c>
      <c r="E334" s="1" t="str">
        <f>VLOOKUP(Table1[[#This Row],[Navn DK]],product_nodes_new_id!A:C,3,FALSE)</f>
        <v>0223ef77-852e-4a21-91fb-fea8ba27d06a</v>
      </c>
      <c r="F334" s="1">
        <v>5491.9951491254797</v>
      </c>
      <c r="G334" s="1">
        <v>2886.9750091073602</v>
      </c>
      <c r="H334" s="1">
        <v>0</v>
      </c>
      <c r="I334" s="1">
        <v>-953.71782058391</v>
      </c>
      <c r="J334" s="1">
        <v>1</v>
      </c>
      <c r="K334" s="1" t="s">
        <v>68</v>
      </c>
      <c r="L334" s="1">
        <v>1190</v>
      </c>
      <c r="M334" s="1" t="s">
        <v>69</v>
      </c>
      <c r="N334" s="3" t="s">
        <v>1652</v>
      </c>
      <c r="O334" s="1"/>
    </row>
    <row r="335" spans="1:15" x14ac:dyDescent="0.25">
      <c r="A335" s="2" t="s">
        <v>1059</v>
      </c>
      <c r="B335" s="1" t="s">
        <v>394</v>
      </c>
      <c r="C335" s="1" t="s">
        <v>1060</v>
      </c>
      <c r="D335" s="1" t="s">
        <v>1061</v>
      </c>
      <c r="E335" s="1" t="str">
        <f>VLOOKUP(Table1[[#This Row],[Navn DK]],product_nodes_new_id!A:C,3,FALSE)</f>
        <v>b182445c-a973-45eb-b68b-5fba7a9e6243</v>
      </c>
      <c r="F335" s="1">
        <v>5953.2965291104201</v>
      </c>
      <c r="G335" s="1">
        <v>2886.9750091073602</v>
      </c>
      <c r="H335" s="1">
        <v>0</v>
      </c>
      <c r="I335" s="1">
        <v>-953.71782058391</v>
      </c>
      <c r="J335" s="1">
        <v>1</v>
      </c>
      <c r="K335" s="1" t="s">
        <v>68</v>
      </c>
      <c r="L335" s="1">
        <v>1190</v>
      </c>
      <c r="M335" s="1" t="s">
        <v>69</v>
      </c>
      <c r="N335" s="3" t="s">
        <v>1651</v>
      </c>
      <c r="O335" s="1"/>
    </row>
    <row r="336" spans="1:15" x14ac:dyDescent="0.25">
      <c r="A336" s="2" t="s">
        <v>1075</v>
      </c>
      <c r="B336" s="1" t="s">
        <v>394</v>
      </c>
      <c r="C336" s="1" t="s">
        <v>1076</v>
      </c>
      <c r="D336" s="1" t="s">
        <v>1077</v>
      </c>
      <c r="E336" s="1" t="str">
        <f>VLOOKUP(Table1[[#This Row],[Navn DK]],product_nodes_new_id!A:C,3,FALSE)</f>
        <v>e5b2199c-e0b0-4efe-8e09-bd25f24af185</v>
      </c>
      <c r="F336" s="1">
        <v>3660.37168201656</v>
      </c>
      <c r="G336" s="1">
        <v>3038.25583715016</v>
      </c>
      <c r="H336" s="1">
        <v>0</v>
      </c>
      <c r="I336" s="1">
        <v>-624.71101559302701</v>
      </c>
      <c r="J336" s="1">
        <v>1</v>
      </c>
      <c r="K336" s="1" t="s">
        <v>68</v>
      </c>
      <c r="L336" s="1">
        <v>1220</v>
      </c>
      <c r="M336" s="1" t="s">
        <v>69</v>
      </c>
      <c r="N336" s="3" t="s">
        <v>1655</v>
      </c>
      <c r="O336" s="1"/>
    </row>
    <row r="337" spans="1:15" x14ac:dyDescent="0.25">
      <c r="A337" s="2" t="s">
        <v>504</v>
      </c>
      <c r="B337" s="1" t="s">
        <v>394</v>
      </c>
      <c r="C337" s="1" t="s">
        <v>505</v>
      </c>
      <c r="D337" s="1" t="s">
        <v>506</v>
      </c>
      <c r="E337" s="1" t="str">
        <f>VLOOKUP(Table1[[#This Row],[Navn DK]],product_nodes_new_id!A:C,3,FALSE)</f>
        <v>3ae9f50c-d7be-42e1-81e6-58d2388c125c</v>
      </c>
      <c r="F337" s="1">
        <v>7.6944976581934101</v>
      </c>
      <c r="G337" s="1">
        <v>1.0140732849999901</v>
      </c>
      <c r="H337" s="1">
        <v>0</v>
      </c>
      <c r="I337" s="1">
        <v>-0.29607158278435902</v>
      </c>
      <c r="J337" s="1">
        <v>1</v>
      </c>
      <c r="K337" s="1" t="s">
        <v>17</v>
      </c>
      <c r="L337" s="1">
        <v>1</v>
      </c>
      <c r="M337" s="1" t="s">
        <v>18</v>
      </c>
      <c r="N337" s="3" t="s">
        <v>1564</v>
      </c>
      <c r="O337" s="1"/>
    </row>
    <row r="338" spans="1:15" x14ac:dyDescent="0.25">
      <c r="A338" s="2" t="s">
        <v>1690</v>
      </c>
      <c r="B338" s="1" t="s">
        <v>130</v>
      </c>
      <c r="C338" s="1" t="s">
        <v>22</v>
      </c>
      <c r="D338" s="1" t="s">
        <v>31</v>
      </c>
      <c r="E338" s="1" t="str">
        <f>VLOOKUP(Table1[[#This Row],[Navn DK]],product_nodes_new_id!A:C,3,FALSE)</f>
        <v>f0abd06c-3231-4d62-86ae-c1c4bf88f645</v>
      </c>
      <c r="F338" s="1">
        <v>101.233</v>
      </c>
      <c r="G338" s="1">
        <v>10.879000000000001</v>
      </c>
      <c r="H338" s="1">
        <v>0.53680000000000005</v>
      </c>
      <c r="I338" s="1">
        <v>-23.2</v>
      </c>
      <c r="J338" s="1">
        <v>1</v>
      </c>
      <c r="K338" s="1" t="s">
        <v>24</v>
      </c>
      <c r="L338" s="1">
        <v>38.700000000000003</v>
      </c>
      <c r="M338" s="1" t="s">
        <v>25</v>
      </c>
      <c r="N338" s="15" t="s">
        <v>32</v>
      </c>
      <c r="O338" s="1" t="s">
        <v>1705</v>
      </c>
    </row>
    <row r="339" spans="1:15" x14ac:dyDescent="0.25">
      <c r="A339" s="2" t="s">
        <v>1691</v>
      </c>
      <c r="B339" s="1" t="s">
        <v>130</v>
      </c>
      <c r="C339" s="1" t="s">
        <v>22</v>
      </c>
      <c r="D339" s="1" t="s">
        <v>27</v>
      </c>
      <c r="E339" s="1" t="str">
        <f>VLOOKUP(Table1[[#This Row],[Navn DK]],product_nodes_new_id!A:C,3,FALSE)</f>
        <v>a29d54c3-ee6f-4098-a436-f7ac26677edb</v>
      </c>
      <c r="F339" s="1">
        <v>87.164000000000001</v>
      </c>
      <c r="G339" s="1">
        <v>8.3710000000000004</v>
      </c>
      <c r="H339" s="1">
        <v>0.53239999999999998</v>
      </c>
      <c r="I339" s="1">
        <v>-15.4</v>
      </c>
      <c r="J339" s="1">
        <v>1</v>
      </c>
      <c r="K339" s="1" t="s">
        <v>24</v>
      </c>
      <c r="L339" s="1">
        <v>35.1</v>
      </c>
      <c r="M339" s="1" t="s">
        <v>25</v>
      </c>
      <c r="N339" s="15" t="s">
        <v>28</v>
      </c>
      <c r="O339" s="1" t="s">
        <v>1705</v>
      </c>
    </row>
    <row r="340" spans="1:15" x14ac:dyDescent="0.25">
      <c r="A340" s="2" t="s">
        <v>654</v>
      </c>
      <c r="B340" s="1" t="s">
        <v>394</v>
      </c>
      <c r="C340" s="1" t="s">
        <v>655</v>
      </c>
      <c r="D340" s="1" t="s">
        <v>656</v>
      </c>
      <c r="E340" s="1" t="str">
        <f>VLOOKUP(Table1[[#This Row],[Navn DK]],product_nodes_new_id!A:C,3,FALSE)</f>
        <v>f97ffcba-2aa5-44e7-bb1d-0984ae4fa2c8</v>
      </c>
      <c r="F340" s="1">
        <v>4.0015900313832198</v>
      </c>
      <c r="G340" s="1">
        <v>3.2202060623463402</v>
      </c>
      <c r="H340" s="1">
        <v>1.6092731618195201E-3</v>
      </c>
      <c r="I340" s="1">
        <v>-1.22293041494354</v>
      </c>
      <c r="J340" s="1">
        <v>1</v>
      </c>
      <c r="K340" s="1" t="s">
        <v>17</v>
      </c>
      <c r="L340" s="1">
        <v>1</v>
      </c>
      <c r="M340" s="1" t="s">
        <v>18</v>
      </c>
      <c r="N340" s="3" t="s">
        <v>1596</v>
      </c>
      <c r="O340" s="1"/>
    </row>
    <row r="341" spans="1:15" x14ac:dyDescent="0.25">
      <c r="A341" s="2" t="s">
        <v>507</v>
      </c>
      <c r="B341" s="1" t="s">
        <v>394</v>
      </c>
      <c r="C341" s="1" t="s">
        <v>508</v>
      </c>
      <c r="D341" s="1" t="s">
        <v>509</v>
      </c>
      <c r="E341" s="1" t="str">
        <f>VLOOKUP(Table1[[#This Row],[Navn DK]],product_nodes_new_id!A:C,3,FALSE)</f>
        <v>80b90fb0-cce4-41d1-9b23-4b774643164d</v>
      </c>
      <c r="F341" s="1">
        <v>5.4982037058159197</v>
      </c>
      <c r="G341" s="1">
        <v>3.3259459926161101</v>
      </c>
      <c r="H341" s="1">
        <v>0</v>
      </c>
      <c r="I341" s="1">
        <v>-0.87548832795029696</v>
      </c>
      <c r="J341" s="1">
        <v>1</v>
      </c>
      <c r="K341" s="1" t="s">
        <v>17</v>
      </c>
      <c r="L341" s="1">
        <v>1200</v>
      </c>
      <c r="M341" s="1" t="s">
        <v>69</v>
      </c>
      <c r="N341" s="3" t="s">
        <v>1565</v>
      </c>
      <c r="O341" s="1"/>
    </row>
    <row r="342" spans="1:15" x14ac:dyDescent="0.25">
      <c r="A342" s="2" t="s">
        <v>678</v>
      </c>
      <c r="B342" s="1" t="s">
        <v>394</v>
      </c>
      <c r="C342" s="1" t="s">
        <v>679</v>
      </c>
      <c r="D342" s="1" t="s">
        <v>680</v>
      </c>
      <c r="E342" s="1" t="str">
        <f>VLOOKUP(Table1[[#This Row],[Navn DK]],product_nodes_new_id!A:C,3,FALSE)</f>
        <v>fc738fef-1713-4ec5-a232-14f5ea47ca14</v>
      </c>
      <c r="F342" s="1">
        <v>2.9211784734536499</v>
      </c>
      <c r="G342" s="1">
        <v>3.98250622580687</v>
      </c>
      <c r="H342" s="1">
        <v>0</v>
      </c>
      <c r="I342" s="1">
        <v>-1.3842027428694099</v>
      </c>
      <c r="J342" s="1">
        <v>1</v>
      </c>
      <c r="K342" s="1" t="s">
        <v>17</v>
      </c>
      <c r="L342" s="1">
        <v>30</v>
      </c>
      <c r="M342" s="1" t="s">
        <v>69</v>
      </c>
      <c r="N342" s="3" t="s">
        <v>1604</v>
      </c>
      <c r="O342" s="1"/>
    </row>
    <row r="343" spans="1:15" x14ac:dyDescent="0.25">
      <c r="A343" s="2" t="s">
        <v>1122</v>
      </c>
      <c r="B343" s="1" t="s">
        <v>394</v>
      </c>
      <c r="C343" s="1" t="s">
        <v>1123</v>
      </c>
      <c r="D343" s="1" t="s">
        <v>1124</v>
      </c>
      <c r="E343" s="1" t="str">
        <f>VLOOKUP(Table1[[#This Row],[Navn DK]],product_nodes_new_id!A:C,3,FALSE)</f>
        <v>a23c0546-a56f-456c-9f49-508d9d3ec013</v>
      </c>
      <c r="F343" s="1">
        <v>162.112796651314</v>
      </c>
      <c r="G343" s="1">
        <v>103.378787072755</v>
      </c>
      <c r="H343" s="1">
        <v>0</v>
      </c>
      <c r="I343" s="1">
        <v>-36.241512134061203</v>
      </c>
      <c r="J343" s="1">
        <v>1</v>
      </c>
      <c r="K343" s="1" t="s">
        <v>68</v>
      </c>
      <c r="L343" s="1">
        <v>350</v>
      </c>
      <c r="M343" s="1" t="s">
        <v>69</v>
      </c>
      <c r="N343" s="3" t="s">
        <v>1125</v>
      </c>
      <c r="O343" s="1"/>
    </row>
    <row r="344" spans="1:15" x14ac:dyDescent="0.25">
      <c r="A344" s="2" t="s">
        <v>1085</v>
      </c>
      <c r="B344" s="1" t="s">
        <v>394</v>
      </c>
      <c r="C344" s="1" t="s">
        <v>1086</v>
      </c>
      <c r="D344" s="1" t="s">
        <v>1087</v>
      </c>
      <c r="E344" s="1" t="str">
        <f>VLOOKUP(Table1[[#This Row],[Navn DK]],product_nodes_new_id!A:C,3,FALSE)</f>
        <v>70d0bbbe-7601-4761-99f5-1a730ce303bb</v>
      </c>
      <c r="F344" s="1">
        <v>48.969155725444601</v>
      </c>
      <c r="G344" s="1">
        <v>55.381493074689999</v>
      </c>
      <c r="H344" s="1">
        <v>0</v>
      </c>
      <c r="I344" s="1">
        <v>-19.4150957861042</v>
      </c>
      <c r="J344" s="1">
        <v>1</v>
      </c>
      <c r="K344" s="1" t="s">
        <v>68</v>
      </c>
      <c r="L344" s="1">
        <v>15</v>
      </c>
      <c r="M344" s="1" t="s">
        <v>69</v>
      </c>
      <c r="N344" s="3" t="s">
        <v>1088</v>
      </c>
      <c r="O344" s="1"/>
    </row>
    <row r="345" spans="1:15" x14ac:dyDescent="0.25">
      <c r="A345" s="2" t="s">
        <v>1115</v>
      </c>
      <c r="B345" s="1" t="s">
        <v>394</v>
      </c>
      <c r="C345" s="1" t="s">
        <v>1116</v>
      </c>
      <c r="D345" s="1" t="s">
        <v>1117</v>
      </c>
      <c r="E345" s="1" t="str">
        <f>VLOOKUP(Table1[[#This Row],[Navn DK]],product_nodes_new_id!A:C,3,FALSE)</f>
        <v>a00136b9-4788-4af7-ad5c-fa734ce07903</v>
      </c>
      <c r="F345" s="1">
        <v>152.994597699785</v>
      </c>
      <c r="G345" s="1">
        <v>2.7341241157639198</v>
      </c>
      <c r="H345" s="1">
        <v>1.7601035296446899E-3</v>
      </c>
      <c r="I345" s="1">
        <v>-0.79749235984479405</v>
      </c>
      <c r="J345" s="1">
        <v>1</v>
      </c>
      <c r="K345" s="1" t="s">
        <v>68</v>
      </c>
      <c r="L345" s="1">
        <v>30</v>
      </c>
      <c r="M345" s="1" t="s">
        <v>69</v>
      </c>
      <c r="N345" s="3" t="s">
        <v>1663</v>
      </c>
      <c r="O345" s="1"/>
    </row>
    <row r="346" spans="1:15" x14ac:dyDescent="0.25">
      <c r="A346" s="2" t="s">
        <v>332</v>
      </c>
      <c r="B346" s="1" t="s">
        <v>130</v>
      </c>
      <c r="C346" s="1" t="s">
        <v>22</v>
      </c>
      <c r="D346" s="1" t="s">
        <v>333</v>
      </c>
      <c r="E346" s="1" t="str">
        <f>VLOOKUP(Table1[[#This Row],[Navn DK]],product_nodes_new_id!A:C,3,FALSE)</f>
        <v>03456e47-92ae-4816-ba13-6481b20b9db3</v>
      </c>
      <c r="F346" s="1">
        <v>243.10000000000002</v>
      </c>
      <c r="G346" s="1">
        <v>7.051000000000001</v>
      </c>
      <c r="H346" s="1">
        <v>6.4790000000000001</v>
      </c>
      <c r="I346" s="1">
        <v>-1.377</v>
      </c>
      <c r="J346" s="1">
        <v>1</v>
      </c>
      <c r="K346" s="1" t="s">
        <v>68</v>
      </c>
      <c r="L346" s="1">
        <v>545</v>
      </c>
      <c r="M346" s="1" t="s">
        <v>69</v>
      </c>
      <c r="N346" s="3" t="s">
        <v>133</v>
      </c>
      <c r="O346" s="1"/>
    </row>
    <row r="347" spans="1:15" x14ac:dyDescent="0.25">
      <c r="A347" s="2" t="s">
        <v>1138</v>
      </c>
      <c r="B347" s="1" t="s">
        <v>394</v>
      </c>
      <c r="C347" s="1" t="s">
        <v>1139</v>
      </c>
      <c r="D347" s="1" t="s">
        <v>1140</v>
      </c>
      <c r="E347" s="1" t="str">
        <f>VLOOKUP(Table1[[#This Row],[Navn DK]],product_nodes_new_id!A:C,3,FALSE)</f>
        <v>73fb8dba-8942-4e2f-b1e9-74c988db0682</v>
      </c>
      <c r="F347" s="1">
        <v>224.830330325614</v>
      </c>
      <c r="G347" s="1">
        <v>3.1935164190804199</v>
      </c>
      <c r="H347" s="1">
        <v>0</v>
      </c>
      <c r="I347" s="1">
        <v>-0.743220464869084</v>
      </c>
      <c r="J347" s="1">
        <v>1</v>
      </c>
      <c r="K347" s="1" t="s">
        <v>68</v>
      </c>
      <c r="L347" s="1">
        <v>472</v>
      </c>
      <c r="M347" s="1" t="s">
        <v>69</v>
      </c>
      <c r="N347" s="3" t="s">
        <v>1668</v>
      </c>
      <c r="O347" s="1"/>
    </row>
    <row r="348" spans="1:15" x14ac:dyDescent="0.25">
      <c r="A348" s="2" t="s">
        <v>1145</v>
      </c>
      <c r="B348" s="1" t="s">
        <v>394</v>
      </c>
      <c r="C348" s="1" t="s">
        <v>1146</v>
      </c>
      <c r="D348" s="1" t="s">
        <v>1147</v>
      </c>
      <c r="E348" s="1" t="str">
        <f>VLOOKUP(Table1[[#This Row],[Navn DK]],product_nodes_new_id!A:C,3,FALSE)</f>
        <v>cfa4c902-fcd4-4351-bf02-5d7b4792278e</v>
      </c>
      <c r="F348" s="1">
        <v>261.96034498132701</v>
      </c>
      <c r="G348" s="1">
        <v>3.38106784945523</v>
      </c>
      <c r="H348" s="1">
        <v>0</v>
      </c>
      <c r="I348" s="1">
        <v>3.4616051949729001</v>
      </c>
      <c r="J348" s="1">
        <v>1</v>
      </c>
      <c r="K348" s="1" t="s">
        <v>68</v>
      </c>
      <c r="L348" s="1">
        <v>500</v>
      </c>
      <c r="M348" s="1" t="s">
        <v>69</v>
      </c>
      <c r="N348" s="3" t="s">
        <v>1669</v>
      </c>
      <c r="O348" s="1"/>
    </row>
    <row r="349" spans="1:15" x14ac:dyDescent="0.25">
      <c r="A349" s="2" t="s">
        <v>1132</v>
      </c>
      <c r="B349" s="1" t="s">
        <v>394</v>
      </c>
      <c r="C349" s="1" t="s">
        <v>1133</v>
      </c>
      <c r="D349" s="1" t="s">
        <v>1134</v>
      </c>
      <c r="E349" s="1" t="str">
        <f>VLOOKUP(Table1[[#This Row],[Navn DK]],product_nodes_new_id!A:C,3,FALSE)</f>
        <v>8c682a8a-82ed-49ac-92ac-5375b90bf392</v>
      </c>
      <c r="F349" s="1">
        <v>5.5578226871552801</v>
      </c>
      <c r="G349" s="1">
        <v>2.7063698466783301</v>
      </c>
      <c r="H349" s="1">
        <v>0</v>
      </c>
      <c r="I349" s="1">
        <v>-0.62984785158396905</v>
      </c>
      <c r="J349" s="1">
        <v>1</v>
      </c>
      <c r="K349" s="1" t="s">
        <v>68</v>
      </c>
      <c r="L349" s="1">
        <v>400</v>
      </c>
      <c r="M349" s="1" t="s">
        <v>69</v>
      </c>
      <c r="N349" s="3" t="s">
        <v>1666</v>
      </c>
      <c r="O349" s="1"/>
    </row>
    <row r="350" spans="1:15" x14ac:dyDescent="0.25">
      <c r="A350" s="2" t="s">
        <v>326</v>
      </c>
      <c r="B350" s="1" t="s">
        <v>130</v>
      </c>
      <c r="C350" s="1" t="s">
        <v>22</v>
      </c>
      <c r="D350" s="1" t="s">
        <v>327</v>
      </c>
      <c r="E350" s="1" t="str">
        <f>VLOOKUP(Table1[[#This Row],[Navn DK]],product_nodes_new_id!A:C,3,FALSE)</f>
        <v>d3b79c01-d4b0-4bf3-8fe4-a3fd849bba53</v>
      </c>
      <c r="F350" s="1">
        <v>108.24000000000001</v>
      </c>
      <c r="G350" s="1">
        <v>1.4878256880733949</v>
      </c>
      <c r="H350" s="1">
        <v>1.3671284403669726</v>
      </c>
      <c r="I350" s="1">
        <v>-11.16</v>
      </c>
      <c r="J350" s="1">
        <v>1</v>
      </c>
      <c r="K350" s="1" t="s">
        <v>68</v>
      </c>
      <c r="L350" s="1">
        <v>115</v>
      </c>
      <c r="M350" s="1" t="s">
        <v>69</v>
      </c>
      <c r="N350" s="3" t="s">
        <v>133</v>
      </c>
      <c r="O350" s="1"/>
    </row>
    <row r="351" spans="1:15" x14ac:dyDescent="0.25">
      <c r="A351" s="2" t="s">
        <v>136</v>
      </c>
      <c r="B351" s="1" t="s">
        <v>130</v>
      </c>
      <c r="C351" s="1" t="s">
        <v>22</v>
      </c>
      <c r="D351" s="1" t="s">
        <v>137</v>
      </c>
      <c r="E351" s="1" t="str">
        <f>VLOOKUP(Table1[[#This Row],[Navn DK]],product_nodes_new_id!A:C,3,FALSE)</f>
        <v>71f02bcc-b812-49de-86e3-543bc9df0d37</v>
      </c>
      <c r="F351" s="1">
        <v>2.9040000000000004</v>
      </c>
      <c r="G351" s="1">
        <v>0.47190000000000004</v>
      </c>
      <c r="H351" s="1">
        <v>0</v>
      </c>
      <c r="I351" s="1">
        <v>-0.30780000000000002</v>
      </c>
      <c r="J351" s="1">
        <v>1</v>
      </c>
      <c r="K351" s="1" t="s">
        <v>17</v>
      </c>
      <c r="L351" s="1">
        <v>1500</v>
      </c>
      <c r="M351" s="1" t="s">
        <v>69</v>
      </c>
      <c r="N351" s="3" t="s">
        <v>133</v>
      </c>
      <c r="O351" s="1"/>
    </row>
    <row r="352" spans="1:15" x14ac:dyDescent="0.25">
      <c r="A352" s="2" t="s">
        <v>570</v>
      </c>
      <c r="B352" s="1" t="s">
        <v>394</v>
      </c>
      <c r="C352" s="1" t="s">
        <v>571</v>
      </c>
      <c r="D352" s="1" t="s">
        <v>572</v>
      </c>
      <c r="E352" s="1" t="str">
        <f>VLOOKUP(Table1[[#This Row],[Navn DK]],product_nodes_new_id!A:C,3,FALSE)</f>
        <v>b2162507-0f3e-426b-aa56-ebd8c8a3eca0</v>
      </c>
      <c r="F352" s="1">
        <v>0.63796233354392595</v>
      </c>
      <c r="G352" s="1">
        <v>0</v>
      </c>
      <c r="H352" s="1">
        <v>0</v>
      </c>
      <c r="I352" s="1">
        <v>-0.52831218378212597</v>
      </c>
      <c r="J352" s="1">
        <v>1</v>
      </c>
      <c r="K352" s="1" t="s">
        <v>17</v>
      </c>
      <c r="L352" s="1">
        <v>1</v>
      </c>
      <c r="M352" s="1" t="s">
        <v>18</v>
      </c>
      <c r="N352" s="3" t="s">
        <v>1578</v>
      </c>
      <c r="O352" s="1"/>
    </row>
    <row r="353" spans="1:15" x14ac:dyDescent="0.25">
      <c r="A353" s="2" t="s">
        <v>140</v>
      </c>
      <c r="B353" s="1" t="s">
        <v>130</v>
      </c>
      <c r="C353" s="1" t="s">
        <v>22</v>
      </c>
      <c r="D353" s="1" t="s">
        <v>141</v>
      </c>
      <c r="E353" s="1" t="str">
        <f>VLOOKUP(Table1[[#This Row],[Navn DK]],product_nodes_new_id!A:C,3,FALSE)</f>
        <v>bcea6f2a-b247-4d60-82ff-9a99b65965e9</v>
      </c>
      <c r="F353" s="1">
        <v>1.9800000000000002</v>
      </c>
      <c r="G353" s="1">
        <v>2.7170000000000005</v>
      </c>
      <c r="H353" s="1">
        <v>0</v>
      </c>
      <c r="I353" s="1">
        <v>-0.65249999999999997</v>
      </c>
      <c r="J353" s="1">
        <v>1</v>
      </c>
      <c r="K353" s="1" t="s">
        <v>17</v>
      </c>
      <c r="L353" s="1">
        <v>1.8</v>
      </c>
      <c r="M353" s="1" t="s">
        <v>132</v>
      </c>
      <c r="N353" s="3" t="s">
        <v>133</v>
      </c>
      <c r="O353" s="1"/>
    </row>
    <row r="354" spans="1:15" x14ac:dyDescent="0.25">
      <c r="A354" s="2" t="s">
        <v>1184</v>
      </c>
      <c r="B354" s="1" t="s">
        <v>394</v>
      </c>
      <c r="C354" s="1" t="s">
        <v>1185</v>
      </c>
      <c r="D354" s="1" t="s">
        <v>1186</v>
      </c>
      <c r="E354" s="1" t="str">
        <f>VLOOKUP(Table1[[#This Row],[Navn DK]],product_nodes_new_id!A:C,3,FALSE)</f>
        <v>eb982034-7611-4a8d-8322-5279a2ddf5f7</v>
      </c>
      <c r="F354" s="1">
        <v>129.13557086628501</v>
      </c>
      <c r="G354" s="1">
        <v>0</v>
      </c>
      <c r="H354" s="1">
        <v>16.202458456375702</v>
      </c>
      <c r="I354" s="1">
        <v>0</v>
      </c>
      <c r="J354" s="1">
        <v>1</v>
      </c>
      <c r="K354" s="1" t="s">
        <v>68</v>
      </c>
      <c r="L354" s="1">
        <v>900</v>
      </c>
      <c r="M354" s="1" t="s">
        <v>69</v>
      </c>
      <c r="N354" s="3" t="s">
        <v>1187</v>
      </c>
      <c r="O354" s="1"/>
    </row>
    <row r="355" spans="1:15" x14ac:dyDescent="0.25">
      <c r="A355" s="2" t="s">
        <v>1507</v>
      </c>
      <c r="B355" s="1" t="s">
        <v>394</v>
      </c>
      <c r="C355" s="1" t="s">
        <v>1508</v>
      </c>
      <c r="D355" s="1" t="s">
        <v>1509</v>
      </c>
      <c r="E355" s="1" t="str">
        <f>VLOOKUP(Table1[[#This Row],[Navn DK]],product_nodes_new_id!A:C,3,FALSE)</f>
        <v>558f7c52-5588-4f52-8e80-628019173d07</v>
      </c>
      <c r="F355" s="1">
        <v>112.277865935908</v>
      </c>
      <c r="G355" s="1">
        <v>0</v>
      </c>
      <c r="H355" s="1">
        <v>16.172458456375701</v>
      </c>
      <c r="I355" s="1">
        <v>0</v>
      </c>
      <c r="J355" s="1">
        <v>1</v>
      </c>
      <c r="K355" s="1" t="s">
        <v>68</v>
      </c>
      <c r="L355" s="1">
        <v>900</v>
      </c>
      <c r="M355" s="1" t="s">
        <v>69</v>
      </c>
      <c r="N355" s="3" t="s">
        <v>1510</v>
      </c>
      <c r="O355" s="1"/>
    </row>
    <row r="356" spans="1:15" x14ac:dyDescent="0.25">
      <c r="A356" s="2" t="s">
        <v>1181</v>
      </c>
      <c r="B356" s="1" t="s">
        <v>394</v>
      </c>
      <c r="C356" s="1" t="s">
        <v>1182</v>
      </c>
      <c r="D356" s="1" t="s">
        <v>1183</v>
      </c>
      <c r="E356" s="1" t="str">
        <f>VLOOKUP(Table1[[#This Row],[Navn DK]],product_nodes_new_id!A:C,3,FALSE)</f>
        <v>e45362e9-09fa-46d5-a956-5f5858123ac6</v>
      </c>
      <c r="F356" s="1">
        <v>196.91587818045099</v>
      </c>
      <c r="G356" s="1">
        <v>0</v>
      </c>
      <c r="H356" s="1">
        <v>14.483458456375701</v>
      </c>
      <c r="I356" s="1">
        <v>0</v>
      </c>
      <c r="J356" s="1">
        <v>1</v>
      </c>
      <c r="K356" s="1" t="s">
        <v>68</v>
      </c>
      <c r="L356" s="1">
        <v>900</v>
      </c>
      <c r="M356" s="1" t="s">
        <v>69</v>
      </c>
      <c r="N356" s="3" t="s">
        <v>1673</v>
      </c>
      <c r="O356" s="1"/>
    </row>
    <row r="357" spans="1:15" x14ac:dyDescent="0.25">
      <c r="A357" s="2" t="s">
        <v>1093</v>
      </c>
      <c r="B357" s="1" t="s">
        <v>394</v>
      </c>
      <c r="C357" s="1" t="s">
        <v>1094</v>
      </c>
      <c r="D357" s="1" t="s">
        <v>1095</v>
      </c>
      <c r="E357" s="1" t="str">
        <f>VLOOKUP(Table1[[#This Row],[Navn DK]],product_nodes_new_id!A:C,3,FALSE)</f>
        <v>cd16069b-590c-4ad9-a2a3-ab5933def09a</v>
      </c>
      <c r="F357" s="1">
        <v>1159.5917635554399</v>
      </c>
      <c r="G357" s="1">
        <v>0</v>
      </c>
      <c r="H357" s="1">
        <v>27.3576437509318</v>
      </c>
      <c r="I357" s="1">
        <v>0</v>
      </c>
      <c r="J357" s="1">
        <v>1</v>
      </c>
      <c r="K357" s="1" t="s">
        <v>68</v>
      </c>
      <c r="L357" s="1">
        <v>1700</v>
      </c>
      <c r="M357" s="1" t="s">
        <v>69</v>
      </c>
      <c r="N357" s="3" t="s">
        <v>1657</v>
      </c>
      <c r="O357" s="1"/>
    </row>
    <row r="358" spans="1:15" x14ac:dyDescent="0.25">
      <c r="A358" s="2" t="s">
        <v>353</v>
      </c>
      <c r="B358" s="1" t="s">
        <v>130</v>
      </c>
      <c r="C358" s="1" t="s">
        <v>22</v>
      </c>
      <c r="D358" s="1" t="s">
        <v>354</v>
      </c>
      <c r="E358" s="1" t="str">
        <f>VLOOKUP(Table1[[#This Row],[Navn DK]],product_nodes_new_id!A:C,3,FALSE)</f>
        <v>3ca8d81f-0b4e-4be8-b2af-3f4d9c6aaa46</v>
      </c>
      <c r="F358" s="1">
        <v>491.70000000000005</v>
      </c>
      <c r="G358" s="1">
        <v>0.7128000000000001</v>
      </c>
      <c r="H358" s="1">
        <v>5.8080000000000007</v>
      </c>
      <c r="I358" s="1">
        <v>-1.881</v>
      </c>
      <c r="J358" s="1">
        <v>1</v>
      </c>
      <c r="K358" s="1" t="s">
        <v>339</v>
      </c>
      <c r="L358" s="1">
        <v>1600</v>
      </c>
      <c r="M358" s="1" t="s">
        <v>69</v>
      </c>
      <c r="N358" s="3" t="s">
        <v>133</v>
      </c>
      <c r="O358" s="1"/>
    </row>
    <row r="359" spans="1:15" x14ac:dyDescent="0.25">
      <c r="A359" s="2" t="s">
        <v>449</v>
      </c>
      <c r="B359" s="1" t="s">
        <v>394</v>
      </c>
      <c r="C359" s="1" t="s">
        <v>450</v>
      </c>
      <c r="D359" s="1" t="s">
        <v>451</v>
      </c>
      <c r="E359" s="1" t="str">
        <f>VLOOKUP(Table1[[#This Row],[Navn DK]],product_nodes_new_id!A:C,3,FALSE)</f>
        <v>6ae09080-9f03-4e81-8be1-8409289bcc89</v>
      </c>
      <c r="F359" s="1">
        <v>5.5732469356739296</v>
      </c>
      <c r="G359" s="1">
        <v>2.6536726506528598</v>
      </c>
      <c r="H359" s="1">
        <v>0</v>
      </c>
      <c r="I359" s="1">
        <v>-0.72326819936169295</v>
      </c>
      <c r="J359" s="1">
        <v>1</v>
      </c>
      <c r="K359" s="1" t="s">
        <v>17</v>
      </c>
      <c r="L359" s="1">
        <v>1</v>
      </c>
      <c r="M359" s="1" t="s">
        <v>18</v>
      </c>
      <c r="N359" s="3" t="s">
        <v>1551</v>
      </c>
      <c r="O359" s="1"/>
    </row>
    <row r="360" spans="1:15" x14ac:dyDescent="0.25">
      <c r="A360" s="2" t="s">
        <v>852</v>
      </c>
      <c r="B360" s="1" t="s">
        <v>394</v>
      </c>
      <c r="C360" s="1" t="s">
        <v>853</v>
      </c>
      <c r="D360" s="1" t="s">
        <v>854</v>
      </c>
      <c r="E360" s="1" t="str">
        <f>VLOOKUP(Table1[[#This Row],[Navn DK]],product_nodes_new_id!A:C,3,FALSE)</f>
        <v>9d151e6e-160d-4089-bf32-376a1fd3982a</v>
      </c>
      <c r="F360" s="1">
        <v>0.77241503247731802</v>
      </c>
      <c r="G360" s="1">
        <v>0.54113546317781402</v>
      </c>
      <c r="H360" s="1">
        <v>0</v>
      </c>
      <c r="I360" s="1">
        <v>-0.147489985752188</v>
      </c>
      <c r="J360" s="1">
        <v>1</v>
      </c>
      <c r="K360" s="1" t="s">
        <v>24</v>
      </c>
      <c r="L360" s="1">
        <v>0.2</v>
      </c>
      <c r="M360" s="1" t="s">
        <v>25</v>
      </c>
      <c r="N360" s="3" t="s">
        <v>855</v>
      </c>
      <c r="O360" s="1"/>
    </row>
    <row r="361" spans="1:15" x14ac:dyDescent="0.25">
      <c r="A361" s="2" t="s">
        <v>985</v>
      </c>
      <c r="B361" s="1" t="s">
        <v>394</v>
      </c>
      <c r="C361" s="1" t="s">
        <v>986</v>
      </c>
      <c r="D361" s="1" t="s">
        <v>987</v>
      </c>
      <c r="E361" s="1" t="str">
        <f>VLOOKUP(Table1[[#This Row],[Navn DK]],product_nodes_new_id!A:C,3,FALSE)</f>
        <v>2e694b6a-332f-4104-bb04-fe1c28102dfd</v>
      </c>
      <c r="F361" s="1">
        <v>7.6052427738123098</v>
      </c>
      <c r="G361" s="1">
        <v>8.2182330021274801</v>
      </c>
      <c r="H361" s="1">
        <v>0</v>
      </c>
      <c r="I361" s="1">
        <v>-1.6897920913581901</v>
      </c>
      <c r="J361" s="1">
        <v>1</v>
      </c>
      <c r="K361" s="1" t="s">
        <v>24</v>
      </c>
      <c r="L361" s="1">
        <v>3.3</v>
      </c>
      <c r="M361" s="1" t="s">
        <v>25</v>
      </c>
      <c r="N361" s="3" t="s">
        <v>988</v>
      </c>
      <c r="O361" s="1"/>
    </row>
    <row r="362" spans="1:15" x14ac:dyDescent="0.25">
      <c r="A362" s="2" t="s">
        <v>731</v>
      </c>
      <c r="B362" s="1" t="s">
        <v>394</v>
      </c>
      <c r="C362" s="1" t="s">
        <v>732</v>
      </c>
      <c r="D362" s="1" t="s">
        <v>733</v>
      </c>
      <c r="E362" s="1" t="str">
        <f>VLOOKUP(Table1[[#This Row],[Navn DK]],product_nodes_new_id!A:C,3,FALSE)</f>
        <v>60c3b1ce-d60a-4599-88fa-691b2a92a478</v>
      </c>
      <c r="F362" s="1">
        <v>2.3254748299953798</v>
      </c>
      <c r="G362" s="1">
        <v>2.0755504847745998</v>
      </c>
      <c r="H362" s="1">
        <v>0</v>
      </c>
      <c r="I362" s="1">
        <v>-0.42671517458540098</v>
      </c>
      <c r="J362" s="1">
        <v>1</v>
      </c>
      <c r="K362" s="1" t="s">
        <v>17</v>
      </c>
      <c r="L362" s="1">
        <v>1</v>
      </c>
      <c r="M362" s="1" t="s">
        <v>18</v>
      </c>
      <c r="N362" s="3" t="s">
        <v>1617</v>
      </c>
      <c r="O362" s="1"/>
    </row>
    <row r="363" spans="1:15" x14ac:dyDescent="0.25">
      <c r="A363" s="2" t="s">
        <v>445</v>
      </c>
      <c r="B363" s="1" t="s">
        <v>394</v>
      </c>
      <c r="C363" s="1" t="s">
        <v>446</v>
      </c>
      <c r="D363" s="1" t="s">
        <v>447</v>
      </c>
      <c r="E363" s="1" t="str">
        <f>VLOOKUP(Table1[[#This Row],[Navn DK]],product_nodes_new_id!A:C,3,FALSE)</f>
        <v>e6dca4e4-f6d3-4553-b9a9-6ce92178eaca</v>
      </c>
      <c r="F363" s="1">
        <v>4.5138825578256299</v>
      </c>
      <c r="G363" s="1">
        <v>0</v>
      </c>
      <c r="H363" s="1">
        <v>8.8005176482234605E-4</v>
      </c>
      <c r="I363" s="1">
        <v>-1.29859369293493</v>
      </c>
      <c r="J363" s="1">
        <v>1</v>
      </c>
      <c r="K363" s="1" t="s">
        <v>17</v>
      </c>
      <c r="L363" s="1">
        <v>1</v>
      </c>
      <c r="M363" s="1" t="s">
        <v>18</v>
      </c>
      <c r="N363" s="3" t="s">
        <v>448</v>
      </c>
      <c r="O363" s="1"/>
    </row>
    <row r="364" spans="1:15" x14ac:dyDescent="0.25">
      <c r="A364" s="2" t="s">
        <v>681</v>
      </c>
      <c r="B364" s="1" t="s">
        <v>394</v>
      </c>
      <c r="C364" s="1" t="s">
        <v>682</v>
      </c>
      <c r="D364" s="1" t="s">
        <v>683</v>
      </c>
      <c r="E364" s="1" t="str">
        <f>VLOOKUP(Table1[[#This Row],[Navn DK]],product_nodes_new_id!A:C,3,FALSE)</f>
        <v>23a3d605-24a4-42cf-91c5-f0c12728f673</v>
      </c>
      <c r="F364" s="1">
        <v>0.64123144087432504</v>
      </c>
      <c r="G364" s="1">
        <v>0</v>
      </c>
      <c r="H364" s="1">
        <v>0</v>
      </c>
      <c r="I364" s="1">
        <v>0.120389133764673</v>
      </c>
      <c r="J364" s="1">
        <v>1</v>
      </c>
      <c r="K364" s="1" t="s">
        <v>17</v>
      </c>
      <c r="L364" s="1">
        <v>1</v>
      </c>
      <c r="M364" s="1" t="s">
        <v>18</v>
      </c>
      <c r="N364" s="3" t="s">
        <v>1605</v>
      </c>
      <c r="O364" s="1"/>
    </row>
    <row r="365" spans="1:15" x14ac:dyDescent="0.25">
      <c r="A365" s="2" t="s">
        <v>20</v>
      </c>
      <c r="B365" s="1" t="s">
        <v>14</v>
      </c>
      <c r="C365" s="1" t="s">
        <v>1695</v>
      </c>
      <c r="D365" s="1" t="s">
        <v>1694</v>
      </c>
      <c r="E365" s="1" t="str">
        <f>VLOOKUP(Table1[[#This Row],[Navn DK]],product_nodes_new_id!A:C,3,FALSE)</f>
        <v>6657703e-b860-4d97-85b8-844b3ecb63cc</v>
      </c>
      <c r="F365" s="1">
        <v>4.0999999999999996</v>
      </c>
      <c r="G365" s="1">
        <v>5.3499999999999999E-2</v>
      </c>
      <c r="H365" s="1">
        <v>1.1999999999999999E-3</v>
      </c>
      <c r="I365" s="1">
        <v>-1.48</v>
      </c>
      <c r="J365" s="1">
        <v>1</v>
      </c>
      <c r="K365" s="1" t="s">
        <v>17</v>
      </c>
      <c r="L365" s="1">
        <v>1</v>
      </c>
      <c r="M365" s="1" t="s">
        <v>18</v>
      </c>
      <c r="N365" s="3" t="s">
        <v>21</v>
      </c>
      <c r="O365" s="1"/>
    </row>
    <row r="366" spans="1:15" x14ac:dyDescent="0.25">
      <c r="A366" s="2" t="s">
        <v>966</v>
      </c>
      <c r="B366" s="1" t="s">
        <v>394</v>
      </c>
      <c r="C366" s="1" t="s">
        <v>967</v>
      </c>
      <c r="D366" s="1" t="s">
        <v>968</v>
      </c>
      <c r="E366" s="1" t="str">
        <f>VLOOKUP(Table1[[#This Row],[Navn DK]],product_nodes_new_id!A:C,3,FALSE)</f>
        <v>cf690bc5-e5e5-45d8-abf3-325389cff75a</v>
      </c>
      <c r="F366" s="1">
        <v>36.641405996199701</v>
      </c>
      <c r="G366" s="1">
        <v>1.51967520389404</v>
      </c>
      <c r="H366" s="1">
        <v>0.35202070592893803</v>
      </c>
      <c r="I366" s="1">
        <v>-0.44410737417653801</v>
      </c>
      <c r="J366" s="1">
        <v>1</v>
      </c>
      <c r="K366" s="1" t="s">
        <v>24</v>
      </c>
      <c r="L366" s="1">
        <v>20.5</v>
      </c>
      <c r="M366" s="1" t="s">
        <v>25</v>
      </c>
      <c r="N366" s="3" t="s">
        <v>1645</v>
      </c>
      <c r="O366" s="1"/>
    </row>
    <row r="367" spans="1:15" x14ac:dyDescent="0.25">
      <c r="A367" s="2" t="s">
        <v>996</v>
      </c>
      <c r="B367" s="1" t="s">
        <v>394</v>
      </c>
      <c r="C367" s="1" t="s">
        <v>997</v>
      </c>
      <c r="D367" s="1" t="s">
        <v>998</v>
      </c>
      <c r="E367" s="1" t="str">
        <f>VLOOKUP(Table1[[#This Row],[Navn DK]],product_nodes_new_id!A:C,3,FALSE)</f>
        <v>65046db4-321b-42f2-bc7b-0114ce520515</v>
      </c>
      <c r="F367" s="1">
        <v>57.144039949825597</v>
      </c>
      <c r="G367" s="1">
        <v>3.03935040778808</v>
      </c>
      <c r="H367" s="1">
        <v>0.52803105889340696</v>
      </c>
      <c r="I367" s="1">
        <v>-0.88821474835307601</v>
      </c>
      <c r="J367" s="1">
        <v>1</v>
      </c>
      <c r="K367" s="1" t="s">
        <v>24</v>
      </c>
      <c r="L367" s="1">
        <v>30</v>
      </c>
      <c r="M367" s="1" t="s">
        <v>25</v>
      </c>
      <c r="N367" s="3" t="s">
        <v>999</v>
      </c>
      <c r="O367" s="1"/>
    </row>
    <row r="368" spans="1:15" x14ac:dyDescent="0.25">
      <c r="A368" s="2" t="s">
        <v>1037</v>
      </c>
      <c r="B368" s="1" t="s">
        <v>394</v>
      </c>
      <c r="C368" s="1" t="s">
        <v>1038</v>
      </c>
      <c r="D368" s="1" t="s">
        <v>1707</v>
      </c>
      <c r="E368" s="1" t="str">
        <f>VLOOKUP(Table1[[#This Row],[Navn DK]],product_nodes_new_id!A:C,3,FALSE)</f>
        <v>3d8ae33c-04df-4792-9be7-fc16dd48463c</v>
      </c>
      <c r="F368" s="1">
        <v>22.449887393284602</v>
      </c>
      <c r="G368" s="1">
        <v>9.1316144574620601</v>
      </c>
      <c r="H368" s="1">
        <v>0</v>
      </c>
      <c r="I368" s="1">
        <v>-9.1212522498350506</v>
      </c>
      <c r="J368" s="1">
        <v>1</v>
      </c>
      <c r="K368" s="1" t="s">
        <v>24</v>
      </c>
      <c r="L368" s="1">
        <v>6.24</v>
      </c>
      <c r="M368" s="1" t="s">
        <v>25</v>
      </c>
      <c r="N368" s="3" t="s">
        <v>1650</v>
      </c>
      <c r="O368" s="1"/>
    </row>
    <row r="369" spans="1:15" x14ac:dyDescent="0.25">
      <c r="A369" s="2" t="s">
        <v>1225</v>
      </c>
      <c r="B369" s="1" t="s">
        <v>394</v>
      </c>
      <c r="C369" s="1" t="s">
        <v>1226</v>
      </c>
      <c r="D369" s="1" t="s">
        <v>1227</v>
      </c>
      <c r="E369" s="1" t="str">
        <f>VLOOKUP(Table1[[#This Row],[Navn DK]],product_nodes_new_id!A:C,3,FALSE)</f>
        <v>602b39fe-3cc4-4e70-b4de-20bfc828ff83</v>
      </c>
      <c r="F369" s="1">
        <v>12873.633038440001</v>
      </c>
      <c r="G369" s="1">
        <v>81.448796725932596</v>
      </c>
      <c r="H369" s="1">
        <v>14.2841887774985</v>
      </c>
      <c r="I369" s="1">
        <v>-4376.3241808255298</v>
      </c>
      <c r="J369" s="1">
        <v>1</v>
      </c>
      <c r="K369" s="1" t="s">
        <v>123</v>
      </c>
      <c r="L369" s="1">
        <v>4076</v>
      </c>
      <c r="M369" s="1" t="s">
        <v>124</v>
      </c>
      <c r="N369" s="3" t="s">
        <v>1228</v>
      </c>
      <c r="O369" s="1"/>
    </row>
    <row r="370" spans="1:15" x14ac:dyDescent="0.25">
      <c r="A370" s="2" t="s">
        <v>1205</v>
      </c>
      <c r="B370" s="1" t="s">
        <v>394</v>
      </c>
      <c r="C370" s="1" t="s">
        <v>1206</v>
      </c>
      <c r="D370" s="1" t="s">
        <v>1207</v>
      </c>
      <c r="E370" s="1" t="str">
        <f>VLOOKUP(Table1[[#This Row],[Navn DK]],product_nodes_new_id!A:C,3,FALSE)</f>
        <v>5d72e2ad-d7cf-44f7-b9f2-7498f4e4bc85</v>
      </c>
      <c r="F370" s="1">
        <v>2602.9102160012199</v>
      </c>
      <c r="G370" s="1">
        <v>25.011963728405899</v>
      </c>
      <c r="H370" s="1">
        <v>2.4864498593708602</v>
      </c>
      <c r="I370" s="1">
        <v>-971.92272408508904</v>
      </c>
      <c r="J370" s="1">
        <v>1</v>
      </c>
      <c r="K370" s="1" t="s">
        <v>123</v>
      </c>
      <c r="L370" s="1">
        <v>800</v>
      </c>
      <c r="M370" s="1" t="s">
        <v>124</v>
      </c>
      <c r="N370" s="3" t="s">
        <v>1208</v>
      </c>
      <c r="O370" s="1"/>
    </row>
    <row r="371" spans="1:15" x14ac:dyDescent="0.25">
      <c r="A371" s="2" t="s">
        <v>1519</v>
      </c>
      <c r="B371" s="1" t="s">
        <v>1512</v>
      </c>
      <c r="C371" s="1" t="s">
        <v>22</v>
      </c>
      <c r="D371" s="1" t="s">
        <v>1520</v>
      </c>
      <c r="E371" s="1" t="e">
        <f>VLOOKUP(Table1[[#This Row],[Navn DK]],product_nodes_new_id!A:C,3,FALSE)</f>
        <v>#N/A</v>
      </c>
      <c r="F371" s="1">
        <v>4.5999999999999999E-2</v>
      </c>
      <c r="G371" s="1">
        <v>5.3999999999999999E-2</v>
      </c>
      <c r="H371" s="1">
        <v>0</v>
      </c>
      <c r="I371" s="1">
        <v>-0.04</v>
      </c>
      <c r="J371" s="1"/>
      <c r="K371" s="1"/>
      <c r="L371" s="16">
        <v>0.58482076384344395</v>
      </c>
      <c r="M371" s="1" t="s">
        <v>25</v>
      </c>
      <c r="N371" s="3" t="s">
        <v>1514</v>
      </c>
      <c r="O371" s="1"/>
    </row>
    <row r="372" spans="1:15" x14ac:dyDescent="0.25">
      <c r="A372" s="2" t="s">
        <v>1521</v>
      </c>
      <c r="B372" s="1" t="s">
        <v>1512</v>
      </c>
      <c r="C372" s="1" t="s">
        <v>22</v>
      </c>
      <c r="D372" s="1" t="s">
        <v>1522</v>
      </c>
      <c r="E372" s="1" t="e">
        <f>VLOOKUP(Table1[[#This Row],[Navn DK]],product_nodes_new_id!A:C,3,FALSE)</f>
        <v>#N/A</v>
      </c>
      <c r="F372" s="1">
        <v>2.4E-2</v>
      </c>
      <c r="G372" s="1">
        <v>1.6E-2</v>
      </c>
      <c r="H372" s="1">
        <v>0</v>
      </c>
      <c r="I372" s="1">
        <v>-5.0000000000000001E-3</v>
      </c>
      <c r="J372" s="1"/>
      <c r="K372" s="1"/>
      <c r="L372" s="16">
        <v>0.22651481477548721</v>
      </c>
      <c r="M372" s="1" t="s">
        <v>25</v>
      </c>
      <c r="N372" s="3" t="s">
        <v>1514</v>
      </c>
      <c r="O372" s="1"/>
    </row>
    <row r="373" spans="1:15" x14ac:dyDescent="0.25">
      <c r="A373" s="2" t="s">
        <v>1523</v>
      </c>
      <c r="B373" s="1" t="s">
        <v>1512</v>
      </c>
      <c r="C373" s="1" t="s">
        <v>22</v>
      </c>
      <c r="D373" s="1" t="s">
        <v>1524</v>
      </c>
      <c r="E373" s="1" t="e">
        <f>VLOOKUP(Table1[[#This Row],[Navn DK]],product_nodes_new_id!A:C,3,FALSE)</f>
        <v>#N/A</v>
      </c>
      <c r="F373" s="1">
        <v>0.376</v>
      </c>
      <c r="G373" s="1">
        <v>0.112</v>
      </c>
      <c r="H373" s="1">
        <v>0</v>
      </c>
      <c r="I373" s="1">
        <v>-0.23</v>
      </c>
      <c r="J373" s="1"/>
      <c r="K373" s="1"/>
      <c r="L373" s="16">
        <v>2.9029578284068496</v>
      </c>
      <c r="M373" s="1" t="s">
        <v>25</v>
      </c>
      <c r="N373" s="3" t="s">
        <v>1514</v>
      </c>
      <c r="O373" s="1"/>
    </row>
    <row r="374" spans="1:15" x14ac:dyDescent="0.25">
      <c r="A374" s="2" t="s">
        <v>1284</v>
      </c>
      <c r="B374" s="1" t="s">
        <v>394</v>
      </c>
      <c r="C374" s="1" t="s">
        <v>1285</v>
      </c>
      <c r="D374" s="1" t="s">
        <v>1286</v>
      </c>
      <c r="E374" s="1" t="str">
        <f>VLOOKUP(Table1[[#This Row],[Navn DK]],product_nodes_new_id!A:C,3,FALSE)</f>
        <v>a29a95b0-5752-4cba-abe4-d840e1b8ea5a</v>
      </c>
      <c r="F374" s="1">
        <v>359.78527495671898</v>
      </c>
      <c r="G374" s="1">
        <v>0</v>
      </c>
      <c r="H374" s="1">
        <v>0</v>
      </c>
      <c r="I374" s="1">
        <v>0</v>
      </c>
      <c r="J374" s="1">
        <v>1</v>
      </c>
      <c r="K374" s="1" t="s">
        <v>123</v>
      </c>
      <c r="L374" s="1">
        <v>141</v>
      </c>
      <c r="M374" s="1" t="s">
        <v>124</v>
      </c>
      <c r="N374" s="3" t="s">
        <v>1287</v>
      </c>
      <c r="O374" s="1"/>
    </row>
    <row r="375" spans="1:15" x14ac:dyDescent="0.25">
      <c r="A375" s="2" t="s">
        <v>1347</v>
      </c>
      <c r="B375" s="1" t="s">
        <v>394</v>
      </c>
      <c r="C375" s="1" t="s">
        <v>1348</v>
      </c>
      <c r="D375" s="1" t="s">
        <v>1349</v>
      </c>
      <c r="E375" s="1" t="str">
        <f>VLOOKUP(Table1[[#This Row],[Navn DK]],product_nodes_new_id!A:C,3,FALSE)</f>
        <v>ce852235-b89d-404a-886b-2dbc92486121</v>
      </c>
      <c r="F375" s="1">
        <v>719.57054991343796</v>
      </c>
      <c r="G375" s="1">
        <v>0</v>
      </c>
      <c r="H375" s="1">
        <v>0</v>
      </c>
      <c r="I375" s="1">
        <v>0</v>
      </c>
      <c r="J375" s="1">
        <v>1</v>
      </c>
      <c r="K375" s="1" t="s">
        <v>123</v>
      </c>
      <c r="L375" s="1">
        <v>282</v>
      </c>
      <c r="M375" s="1" t="s">
        <v>124</v>
      </c>
      <c r="N375" s="3" t="s">
        <v>1350</v>
      </c>
      <c r="O375" s="1"/>
    </row>
    <row r="376" spans="1:15" x14ac:dyDescent="0.25">
      <c r="A376" s="2" t="s">
        <v>1446</v>
      </c>
      <c r="B376" s="1" t="s">
        <v>394</v>
      </c>
      <c r="C376" s="1" t="s">
        <v>1447</v>
      </c>
      <c r="D376" s="1" t="s">
        <v>1448</v>
      </c>
      <c r="E376" s="1" t="str">
        <f>VLOOKUP(Table1[[#This Row],[Navn DK]],product_nodes_new_id!A:C,3,FALSE)</f>
        <v>bc717954-8b00-4bec-89ee-fac0cea9ef96</v>
      </c>
      <c r="F376" s="1">
        <v>2518.49692469703</v>
      </c>
      <c r="G376" s="1">
        <v>0</v>
      </c>
      <c r="H376" s="1">
        <v>0</v>
      </c>
      <c r="I376" s="1">
        <v>0</v>
      </c>
      <c r="J376" s="1">
        <v>1</v>
      </c>
      <c r="K376" s="1" t="s">
        <v>123</v>
      </c>
      <c r="L376" s="1">
        <v>987</v>
      </c>
      <c r="M376" s="1" t="s">
        <v>124</v>
      </c>
      <c r="N376" s="3" t="s">
        <v>1449</v>
      </c>
      <c r="O376" s="1"/>
    </row>
    <row r="377" spans="1:15" x14ac:dyDescent="0.25">
      <c r="A377" s="2" t="s">
        <v>1316</v>
      </c>
      <c r="B377" s="1" t="s">
        <v>394</v>
      </c>
      <c r="C377" s="1" t="s">
        <v>1317</v>
      </c>
      <c r="D377" s="1" t="s">
        <v>1318</v>
      </c>
      <c r="E377" s="1" t="str">
        <f>VLOOKUP(Table1[[#This Row],[Navn DK]],product_nodes_new_id!A:C,3,FALSE)</f>
        <v>c2f402bf-0e8a-407b-993b-3d669de472fd</v>
      </c>
      <c r="F377" s="1">
        <v>595.82832248424802</v>
      </c>
      <c r="G377" s="1">
        <v>0</v>
      </c>
      <c r="H377" s="1">
        <v>0</v>
      </c>
      <c r="I377" s="1">
        <v>0</v>
      </c>
      <c r="J377" s="1">
        <v>1</v>
      </c>
      <c r="K377" s="1" t="s">
        <v>123</v>
      </c>
      <c r="L377" s="1">
        <v>188.8</v>
      </c>
      <c r="M377" s="1" t="s">
        <v>124</v>
      </c>
      <c r="N377" s="3" t="s">
        <v>1319</v>
      </c>
      <c r="O377" s="1"/>
    </row>
    <row r="378" spans="1:15" x14ac:dyDescent="0.25">
      <c r="A378" s="2" t="s">
        <v>1405</v>
      </c>
      <c r="B378" s="1" t="s">
        <v>394</v>
      </c>
      <c r="C378" s="1" t="s">
        <v>1406</v>
      </c>
      <c r="D378" s="1" t="s">
        <v>1407</v>
      </c>
      <c r="E378" s="1" t="str">
        <f>VLOOKUP(Table1[[#This Row],[Navn DK]],product_nodes_new_id!A:C,3,FALSE)</f>
        <v>f84e2eae-c860-4ac6-8340-7b84a3f86187</v>
      </c>
      <c r="F378" s="1">
        <v>1749.2099382020299</v>
      </c>
      <c r="G378" s="1">
        <v>0</v>
      </c>
      <c r="H378" s="1">
        <v>0</v>
      </c>
      <c r="I378" s="1">
        <v>0</v>
      </c>
      <c r="J378" s="1">
        <v>1</v>
      </c>
      <c r="K378" s="1" t="s">
        <v>123</v>
      </c>
      <c r="L378" s="1">
        <v>551.5</v>
      </c>
      <c r="M378" s="1" t="s">
        <v>124</v>
      </c>
      <c r="N378" s="3" t="s">
        <v>1408</v>
      </c>
      <c r="O378" s="1"/>
    </row>
    <row r="379" spans="1:15" x14ac:dyDescent="0.25">
      <c r="A379" s="2" t="s">
        <v>1308</v>
      </c>
      <c r="B379" s="1" t="s">
        <v>394</v>
      </c>
      <c r="C379" s="1" t="s">
        <v>1309</v>
      </c>
      <c r="D379" s="1" t="s">
        <v>1310</v>
      </c>
      <c r="E379" s="1" t="str">
        <f>VLOOKUP(Table1[[#This Row],[Navn DK]],product_nodes_new_id!A:C,3,FALSE)</f>
        <v>d516bf31-c981-4358-87f6-82451157e6a0</v>
      </c>
      <c r="F379" s="1">
        <v>5843.4581370903397</v>
      </c>
      <c r="G379" s="1">
        <v>0</v>
      </c>
      <c r="H379" s="1">
        <v>0</v>
      </c>
      <c r="I379" s="1">
        <v>0</v>
      </c>
      <c r="J379" s="1">
        <v>1</v>
      </c>
      <c r="K379" s="1" t="s">
        <v>123</v>
      </c>
      <c r="L379" s="1">
        <v>1843.4</v>
      </c>
      <c r="M379" s="1" t="s">
        <v>124</v>
      </c>
      <c r="N379" s="3" t="s">
        <v>1311</v>
      </c>
      <c r="O379" s="1"/>
    </row>
    <row r="380" spans="1:15" x14ac:dyDescent="0.25">
      <c r="A380" s="2" t="s">
        <v>1362</v>
      </c>
      <c r="B380" s="1" t="s">
        <v>394</v>
      </c>
      <c r="C380" s="1" t="s">
        <v>1363</v>
      </c>
      <c r="D380" s="1" t="s">
        <v>1364</v>
      </c>
      <c r="E380" s="1" t="str">
        <f>VLOOKUP(Table1[[#This Row],[Navn DK]],product_nodes_new_id!A:C,3,FALSE)</f>
        <v>cffbdf09-bdc6-401f-8ef3-f138c79235c7</v>
      </c>
      <c r="F380" s="1">
        <v>133.270717149251</v>
      </c>
      <c r="G380" s="1">
        <v>0</v>
      </c>
      <c r="H380" s="1">
        <v>1.5840931766802201E-2</v>
      </c>
      <c r="I380" s="1">
        <v>-23.374686472828699</v>
      </c>
      <c r="J380" s="1">
        <v>1</v>
      </c>
      <c r="K380" s="1" t="s">
        <v>123</v>
      </c>
      <c r="L380" s="1">
        <v>33</v>
      </c>
      <c r="M380" s="1" t="s">
        <v>124</v>
      </c>
      <c r="N380" s="3" t="s">
        <v>1365</v>
      </c>
      <c r="O380" s="1"/>
    </row>
    <row r="381" spans="1:15" x14ac:dyDescent="0.25">
      <c r="A381" s="2" t="s">
        <v>1393</v>
      </c>
      <c r="B381" s="1" t="s">
        <v>394</v>
      </c>
      <c r="C381" s="1" t="s">
        <v>1394</v>
      </c>
      <c r="D381" s="1" t="s">
        <v>1395</v>
      </c>
      <c r="E381" s="1" t="str">
        <f>VLOOKUP(Table1[[#This Row],[Navn DK]],product_nodes_new_id!A:C,3,FALSE)</f>
        <v>04ea246a-c6dc-4c06-826e-c4bfeee1db84</v>
      </c>
      <c r="F381" s="1">
        <v>171.54574639996599</v>
      </c>
      <c r="G381" s="1">
        <v>0</v>
      </c>
      <c r="H381" s="1">
        <v>1.5840931766802201E-2</v>
      </c>
      <c r="I381" s="1">
        <v>-23.374686472828699</v>
      </c>
      <c r="J381" s="1">
        <v>1</v>
      </c>
      <c r="K381" s="1" t="s">
        <v>123</v>
      </c>
      <c r="L381" s="1">
        <v>48</v>
      </c>
      <c r="M381" s="1" t="s">
        <v>124</v>
      </c>
      <c r="N381" s="3" t="s">
        <v>1396</v>
      </c>
      <c r="O381" s="1"/>
    </row>
    <row r="382" spans="1:15" x14ac:dyDescent="0.25">
      <c r="A382" s="2" t="s">
        <v>1264</v>
      </c>
      <c r="B382" s="1" t="s">
        <v>394</v>
      </c>
      <c r="C382" s="1" t="s">
        <v>1265</v>
      </c>
      <c r="D382" s="1" t="s">
        <v>1266</v>
      </c>
      <c r="E382" s="1" t="str">
        <f>VLOOKUP(Table1[[#This Row],[Navn DK]],product_nodes_new_id!A:C,3,FALSE)</f>
        <v>9d0a2bad-0863-4844-98cc-5262b015b599</v>
      </c>
      <c r="F382" s="1">
        <v>410.68169585803298</v>
      </c>
      <c r="G382" s="1">
        <v>0</v>
      </c>
      <c r="H382" s="1">
        <v>1.5840931766802201E-2</v>
      </c>
      <c r="I382" s="1">
        <v>-23.374686472828699</v>
      </c>
      <c r="J382" s="1">
        <v>1</v>
      </c>
      <c r="K382" s="1" t="s">
        <v>123</v>
      </c>
      <c r="L382" s="1">
        <v>123</v>
      </c>
      <c r="M382" s="1" t="s">
        <v>124</v>
      </c>
      <c r="N382" s="3" t="s">
        <v>1267</v>
      </c>
      <c r="O382" s="1"/>
    </row>
    <row r="383" spans="1:15" x14ac:dyDescent="0.25">
      <c r="A383" s="2" t="s">
        <v>1477</v>
      </c>
      <c r="B383" s="1" t="s">
        <v>394</v>
      </c>
      <c r="C383" s="1" t="s">
        <v>1478</v>
      </c>
      <c r="D383" s="1" t="s">
        <v>1479</v>
      </c>
      <c r="E383" s="1" t="str">
        <f>VLOOKUP(Table1[[#This Row],[Navn DK]],product_nodes_new_id!A:C,3,FALSE)</f>
        <v>6687bb0a-eb5a-4bbd-b7ae-685275ba4318</v>
      </c>
      <c r="F383" s="1">
        <v>4.3514635595202398</v>
      </c>
      <c r="G383" s="1">
        <v>2.55145983875583</v>
      </c>
      <c r="H383" s="1">
        <v>0</v>
      </c>
      <c r="I383" s="1">
        <v>-1.14384085338212</v>
      </c>
      <c r="J383" s="1">
        <v>1</v>
      </c>
      <c r="K383" s="1" t="s">
        <v>17</v>
      </c>
      <c r="L383" s="1">
        <v>1050</v>
      </c>
      <c r="M383" s="1" t="s">
        <v>69</v>
      </c>
      <c r="N383" s="3" t="s">
        <v>1480</v>
      </c>
      <c r="O383" s="1"/>
    </row>
    <row r="384" spans="1:15" x14ac:dyDescent="0.25">
      <c r="A384" s="2" t="s">
        <v>408</v>
      </c>
      <c r="B384" s="1" t="s">
        <v>394</v>
      </c>
      <c r="C384" s="1" t="s">
        <v>409</v>
      </c>
      <c r="D384" s="1" t="s">
        <v>410</v>
      </c>
      <c r="E384" s="1" t="str">
        <f>VLOOKUP(Table1[[#This Row],[Navn DK]],product_nodes_new_id!A:C,3,FALSE)</f>
        <v>6ce2cd90-d28e-45dc-aa5f-d2b4ad3c306e</v>
      </c>
      <c r="F384" s="1">
        <v>2.5945411583266198</v>
      </c>
      <c r="G384" s="1">
        <v>2.2829036143655101</v>
      </c>
      <c r="H384" s="1">
        <v>0</v>
      </c>
      <c r="I384" s="1">
        <v>-0.55814317247783796</v>
      </c>
      <c r="J384" s="1">
        <v>1</v>
      </c>
      <c r="K384" s="1" t="s">
        <v>17</v>
      </c>
      <c r="L384" s="1">
        <v>1</v>
      </c>
      <c r="M384" s="1" t="s">
        <v>18</v>
      </c>
      <c r="N384" s="3" t="s">
        <v>411</v>
      </c>
      <c r="O384" s="1"/>
    </row>
    <row r="385" spans="1:15" x14ac:dyDescent="0.25">
      <c r="A385" s="2" t="s">
        <v>500</v>
      </c>
      <c r="B385" s="1" t="s">
        <v>394</v>
      </c>
      <c r="C385" s="1" t="s">
        <v>501</v>
      </c>
      <c r="D385" s="1" t="s">
        <v>502</v>
      </c>
      <c r="E385" s="1" t="str">
        <f>VLOOKUP(Table1[[#This Row],[Navn DK]],product_nodes_new_id!A:C,3,FALSE)</f>
        <v>20232bf9-0430-4b6a-a6f2-a35e9fb684a2</v>
      </c>
      <c r="F385" s="1">
        <v>2.4971155622970298</v>
      </c>
      <c r="G385" s="1">
        <v>3.4523162494917599</v>
      </c>
      <c r="H385" s="1">
        <v>0</v>
      </c>
      <c r="I385" s="1">
        <v>-1.42676773564548</v>
      </c>
      <c r="J385" s="1">
        <v>1</v>
      </c>
      <c r="K385" s="1" t="s">
        <v>17</v>
      </c>
      <c r="L385" s="1">
        <v>1</v>
      </c>
      <c r="M385" s="1" t="s">
        <v>18</v>
      </c>
      <c r="N385" s="3" t="s">
        <v>503</v>
      </c>
      <c r="O385" s="1"/>
    </row>
    <row r="386" spans="1:15" x14ac:dyDescent="0.25">
      <c r="A386" s="2" t="s">
        <v>597</v>
      </c>
      <c r="B386" s="1" t="s">
        <v>394</v>
      </c>
      <c r="C386" s="1" t="s">
        <v>409</v>
      </c>
      <c r="D386" s="1" t="s">
        <v>598</v>
      </c>
      <c r="E386" s="1" t="str">
        <f>VLOOKUP(Table1[[#This Row],[Navn DK]],product_nodes_new_id!A:C,3,FALSE)</f>
        <v>a5587b9d-3550-419f-a4e0-2a734a055f3e</v>
      </c>
      <c r="F386" s="1">
        <v>2.5945411583266198</v>
      </c>
      <c r="G386" s="1">
        <v>2.2829036143655101</v>
      </c>
      <c r="H386" s="1">
        <v>0</v>
      </c>
      <c r="I386" s="1">
        <v>-0.55814317247783796</v>
      </c>
      <c r="J386" s="1">
        <v>1</v>
      </c>
      <c r="K386" s="1" t="s">
        <v>17</v>
      </c>
      <c r="L386" s="1">
        <v>1</v>
      </c>
      <c r="M386" s="1" t="s">
        <v>18</v>
      </c>
      <c r="N386" s="3" t="s">
        <v>411</v>
      </c>
      <c r="O386" s="1"/>
    </row>
    <row r="387" spans="1:15" x14ac:dyDescent="0.25">
      <c r="A387" s="2" t="s">
        <v>478</v>
      </c>
      <c r="B387" s="1" t="s">
        <v>394</v>
      </c>
      <c r="C387" s="1" t="s">
        <v>479</v>
      </c>
      <c r="D387" s="1" t="s">
        <v>480</v>
      </c>
      <c r="E387" s="1" t="str">
        <f>VLOOKUP(Table1[[#This Row],[Navn DK]],product_nodes_new_id!A:C,3,FALSE)</f>
        <v>e35d5074-ce12-4502-8d10-0525d0fa08d8</v>
      </c>
      <c r="F387" s="1">
        <v>2.4971155622970298</v>
      </c>
      <c r="G387" s="1">
        <v>3.2202060623463402</v>
      </c>
      <c r="H387" s="1">
        <v>1.6092731618195201E-3</v>
      </c>
      <c r="I387" s="1">
        <v>-1.22293041494354</v>
      </c>
      <c r="J387" s="1">
        <v>1</v>
      </c>
      <c r="K387" s="1" t="s">
        <v>17</v>
      </c>
      <c r="L387" s="1">
        <v>1</v>
      </c>
      <c r="M387" s="1" t="s">
        <v>18</v>
      </c>
      <c r="N387" s="3" t="s">
        <v>1558</v>
      </c>
      <c r="O387" s="1"/>
    </row>
    <row r="388" spans="1:15" x14ac:dyDescent="0.25">
      <c r="A388" s="2" t="s">
        <v>599</v>
      </c>
      <c r="B388" s="1" t="s">
        <v>394</v>
      </c>
      <c r="C388" s="1" t="s">
        <v>600</v>
      </c>
      <c r="D388" s="1" t="s">
        <v>601</v>
      </c>
      <c r="E388" s="1" t="str">
        <f>VLOOKUP(Table1[[#This Row],[Navn DK]],product_nodes_new_id!A:C,3,FALSE)</f>
        <v>775b4f5d-cb52-434c-8c71-94b10a9712c4</v>
      </c>
      <c r="F388" s="1">
        <v>2.2439158444079901</v>
      </c>
      <c r="G388" s="1">
        <v>2.2829036143655101</v>
      </c>
      <c r="H388" s="1">
        <v>0</v>
      </c>
      <c r="I388" s="1">
        <v>-0.55814317247783796</v>
      </c>
      <c r="J388" s="1">
        <v>1</v>
      </c>
      <c r="K388" s="1" t="s">
        <v>17</v>
      </c>
      <c r="L388" s="1">
        <v>1</v>
      </c>
      <c r="M388" s="1" t="s">
        <v>18</v>
      </c>
      <c r="N388" s="3" t="s">
        <v>1583</v>
      </c>
      <c r="O388" s="1"/>
    </row>
    <row r="389" spans="1:15" x14ac:dyDescent="0.25">
      <c r="A389" s="2" t="s">
        <v>560</v>
      </c>
      <c r="B389" s="1" t="s">
        <v>394</v>
      </c>
      <c r="C389" s="1" t="s">
        <v>561</v>
      </c>
      <c r="D389" s="1" t="s">
        <v>562</v>
      </c>
      <c r="E389" s="1" t="str">
        <f>VLOOKUP(Table1[[#This Row],[Navn DK]],product_nodes_new_id!A:C,3,FALSE)</f>
        <v>36ff7289-efef-4007-9e53-cc52b3155eb3</v>
      </c>
      <c r="F389" s="1">
        <v>1.6325063759187901</v>
      </c>
      <c r="G389" s="1">
        <v>0</v>
      </c>
      <c r="H389" s="1">
        <v>0</v>
      </c>
      <c r="I389" s="1">
        <v>2.39609650286789E-2</v>
      </c>
      <c r="J389" s="1">
        <v>1</v>
      </c>
      <c r="K389" s="1" t="s">
        <v>17</v>
      </c>
      <c r="L389" s="1">
        <v>1</v>
      </c>
      <c r="M389" s="1" t="s">
        <v>18</v>
      </c>
      <c r="N389" s="3" t="s">
        <v>1576</v>
      </c>
      <c r="O389" s="1"/>
    </row>
    <row r="390" spans="1:15" x14ac:dyDescent="0.25">
      <c r="A390" s="2" t="s">
        <v>684</v>
      </c>
      <c r="B390" s="1" t="s">
        <v>394</v>
      </c>
      <c r="C390" s="1" t="s">
        <v>685</v>
      </c>
      <c r="D390" s="1" t="s">
        <v>686</v>
      </c>
      <c r="E390" s="1" t="str">
        <f>VLOOKUP(Table1[[#This Row],[Navn DK]],product_nodes_new_id!A:C,3,FALSE)</f>
        <v>6f8eac64-f10d-481b-81f7-e8336cdcb553</v>
      </c>
      <c r="F390" s="1">
        <v>2.6195453178976002E-3</v>
      </c>
      <c r="G390" s="1">
        <v>6.7659246166958103E-3</v>
      </c>
      <c r="H390" s="1">
        <v>0</v>
      </c>
      <c r="I390" s="1">
        <v>-1.5746196289599199E-3</v>
      </c>
      <c r="J390" s="1">
        <v>1</v>
      </c>
      <c r="K390" s="1" t="s">
        <v>17</v>
      </c>
      <c r="L390" s="1">
        <v>1350</v>
      </c>
      <c r="M390" s="1" t="s">
        <v>69</v>
      </c>
      <c r="N390" s="3" t="s">
        <v>1606</v>
      </c>
      <c r="O390" s="1"/>
    </row>
    <row r="391" spans="1:15" x14ac:dyDescent="0.25">
      <c r="A391" s="2" t="s">
        <v>452</v>
      </c>
      <c r="B391" s="1" t="s">
        <v>394</v>
      </c>
      <c r="C391" s="1" t="s">
        <v>453</v>
      </c>
      <c r="D391" s="1" t="s">
        <v>454</v>
      </c>
      <c r="E391" s="1" t="str">
        <f>VLOOKUP(Table1[[#This Row],[Navn DK]],product_nodes_new_id!A:C,3,FALSE)</f>
        <v>0b8752d5-d4f0-48d0-976f-e4e047f8848c</v>
      </c>
      <c r="F391" s="1">
        <v>3.2837115249705603E-2</v>
      </c>
      <c r="G391" s="1">
        <v>7.3919647003698402E-3</v>
      </c>
      <c r="H391" s="1">
        <v>0</v>
      </c>
      <c r="I391" s="1">
        <v>-1.44323090284462E-3</v>
      </c>
      <c r="J391" s="1">
        <v>1</v>
      </c>
      <c r="K391" s="1" t="s">
        <v>17</v>
      </c>
      <c r="L391" s="1">
        <v>1350</v>
      </c>
      <c r="M391" s="1" t="s">
        <v>69</v>
      </c>
      <c r="N391" s="3" t="s">
        <v>455</v>
      </c>
      <c r="O391" s="1"/>
    </row>
    <row r="392" spans="1:15" x14ac:dyDescent="0.25">
      <c r="A392" s="2" t="s">
        <v>711</v>
      </c>
      <c r="B392" s="1" t="s">
        <v>394</v>
      </c>
      <c r="C392" s="1" t="s">
        <v>712</v>
      </c>
      <c r="D392" s="1" t="s">
        <v>713</v>
      </c>
      <c r="E392" s="1" t="str">
        <f>VLOOKUP(Table1[[#This Row],[Navn DK]],product_nodes_new_id!A:C,3,FALSE)</f>
        <v>67764874-9fd2-4e42-a6e3-246a035b2e07</v>
      </c>
      <c r="F392" s="1">
        <v>2.73184277721275E-2</v>
      </c>
      <c r="G392" s="1">
        <v>6.7659246166958103E-3</v>
      </c>
      <c r="H392" s="1">
        <v>0</v>
      </c>
      <c r="I392" s="1">
        <v>-1.5746196289599199E-3</v>
      </c>
      <c r="J392" s="1">
        <v>1</v>
      </c>
      <c r="K392" s="1" t="s">
        <v>17</v>
      </c>
      <c r="L392" s="1">
        <v>1350</v>
      </c>
      <c r="M392" s="1" t="s">
        <v>69</v>
      </c>
      <c r="N392" s="3" t="s">
        <v>1613</v>
      </c>
      <c r="O392" s="1"/>
    </row>
    <row r="393" spans="1:15" x14ac:dyDescent="0.25">
      <c r="A393" s="2" t="s">
        <v>334</v>
      </c>
      <c r="B393" s="1" t="s">
        <v>130</v>
      </c>
      <c r="C393" s="1" t="s">
        <v>22</v>
      </c>
      <c r="D393" s="1" t="s">
        <v>335</v>
      </c>
      <c r="E393" s="1" t="str">
        <f>VLOOKUP(Table1[[#This Row],[Navn DK]],product_nodes_new_id!A:C,3,FALSE)</f>
        <v>815112b6-b7c2-42ce-8081-3c5100ff2d2b</v>
      </c>
      <c r="F393" s="1">
        <v>312.40000000000003</v>
      </c>
      <c r="G393" s="1">
        <v>0</v>
      </c>
      <c r="H393" s="1">
        <v>0</v>
      </c>
      <c r="I393" s="1">
        <v>0</v>
      </c>
      <c r="J393" s="1">
        <v>1</v>
      </c>
      <c r="K393" s="1" t="s">
        <v>336</v>
      </c>
      <c r="L393" s="1">
        <v>1590</v>
      </c>
      <c r="M393" s="1" t="s">
        <v>124</v>
      </c>
      <c r="N393" s="3" t="s">
        <v>133</v>
      </c>
      <c r="O393" s="1"/>
    </row>
    <row r="394" spans="1:15" x14ac:dyDescent="0.25">
      <c r="A394" s="2" t="s">
        <v>61</v>
      </c>
      <c r="B394" s="1" t="s">
        <v>14</v>
      </c>
      <c r="C394" s="1" t="s">
        <v>22</v>
      </c>
      <c r="D394" s="1" t="s">
        <v>62</v>
      </c>
      <c r="E394" s="1" t="str">
        <f>VLOOKUP(Table1[[#This Row],[Navn DK]],product_nodes_new_id!A:C,3,FALSE)</f>
        <v>3038b01e-7cf0-4731-a087-8a204cf48fe0</v>
      </c>
      <c r="F394" s="1">
        <v>87.3</v>
      </c>
      <c r="G394" s="1">
        <v>1.49</v>
      </c>
      <c r="H394" s="1">
        <v>10.8</v>
      </c>
      <c r="I394" s="1">
        <v>-7.83</v>
      </c>
      <c r="J394" s="1">
        <v>1</v>
      </c>
      <c r="K394" s="1" t="s">
        <v>24</v>
      </c>
      <c r="L394" s="1">
        <v>495.2</v>
      </c>
      <c r="M394" s="1" t="s">
        <v>25</v>
      </c>
      <c r="N394" s="3" t="s">
        <v>63</v>
      </c>
      <c r="O394" s="1"/>
    </row>
    <row r="395" spans="1:15" x14ac:dyDescent="0.25">
      <c r="A395" s="2" t="s">
        <v>64</v>
      </c>
      <c r="B395" s="1" t="s">
        <v>14</v>
      </c>
      <c r="C395" s="1" t="s">
        <v>22</v>
      </c>
      <c r="D395" s="1" t="s">
        <v>65</v>
      </c>
      <c r="E395" s="1" t="str">
        <f>VLOOKUP(Table1[[#This Row],[Navn DK]],product_nodes_new_id!A:C,3,FALSE)</f>
        <v>e726c4fe-d4a8-4871-af4a-f00872ee3a78</v>
      </c>
      <c r="F395" s="1">
        <v>90.6</v>
      </c>
      <c r="G395" s="1">
        <v>1.51</v>
      </c>
      <c r="H395" s="1">
        <v>1.25</v>
      </c>
      <c r="I395" s="1">
        <v>-1.21</v>
      </c>
      <c r="J395" s="1">
        <v>1</v>
      </c>
      <c r="K395" s="1" t="s">
        <v>24</v>
      </c>
      <c r="L395" s="1">
        <v>501.8</v>
      </c>
      <c r="M395" s="1" t="s">
        <v>25</v>
      </c>
      <c r="N395" s="3" t="s">
        <v>63</v>
      </c>
      <c r="O395" s="1"/>
    </row>
    <row r="396" spans="1:15" x14ac:dyDescent="0.25">
      <c r="A396" s="2" t="s">
        <v>441</v>
      </c>
      <c r="B396" s="1" t="s">
        <v>394</v>
      </c>
      <c r="C396" s="1" t="s">
        <v>442</v>
      </c>
      <c r="D396" s="1" t="s">
        <v>443</v>
      </c>
      <c r="E396" s="1" t="str">
        <f>VLOOKUP(Table1[[#This Row],[Navn DK]],product_nodes_new_id!A:C,3,FALSE)</f>
        <v>dafdb594-925d-49a8-92f1-d1794aa36887</v>
      </c>
      <c r="F396" s="1">
        <v>2.6864015660974601</v>
      </c>
      <c r="G396" s="1">
        <v>0</v>
      </c>
      <c r="H396" s="1">
        <v>1.7601035296446899E-2</v>
      </c>
      <c r="I396" s="1">
        <v>0</v>
      </c>
      <c r="J396" s="1">
        <v>1</v>
      </c>
      <c r="K396" s="1" t="s">
        <v>17</v>
      </c>
      <c r="L396" s="1">
        <v>1</v>
      </c>
      <c r="M396" s="1" t="s">
        <v>18</v>
      </c>
      <c r="N396" s="3" t="s">
        <v>444</v>
      </c>
      <c r="O396" s="1"/>
    </row>
    <row r="397" spans="1:15" x14ac:dyDescent="0.25">
      <c r="A397" s="2" t="s">
        <v>576</v>
      </c>
      <c r="B397" s="1" t="s">
        <v>394</v>
      </c>
      <c r="C397" s="1" t="s">
        <v>577</v>
      </c>
      <c r="D397" s="1" t="s">
        <v>578</v>
      </c>
      <c r="E397" s="1" t="str">
        <f>VLOOKUP(Table1[[#This Row],[Navn DK]],product_nodes_new_id!A:C,3,FALSE)</f>
        <v>cae1b2b6-ef1a-4116-a4d2-e78c019cdcf6</v>
      </c>
      <c r="F397" s="1">
        <v>0.58689950324471996</v>
      </c>
      <c r="G397" s="1">
        <v>0</v>
      </c>
      <c r="H397" s="1">
        <v>1.7601035296446899E-2</v>
      </c>
      <c r="I397" s="1">
        <v>0</v>
      </c>
      <c r="J397" s="1">
        <v>1</v>
      </c>
      <c r="K397" s="1" t="s">
        <v>17</v>
      </c>
      <c r="L397" s="1">
        <v>1</v>
      </c>
      <c r="M397" s="1" t="s">
        <v>18</v>
      </c>
      <c r="N397" s="15" t="s">
        <v>1580</v>
      </c>
      <c r="O397" s="1"/>
    </row>
    <row r="398" spans="1:15" x14ac:dyDescent="0.25">
      <c r="A398" s="2" t="s">
        <v>1471</v>
      </c>
      <c r="B398" s="1" t="s">
        <v>394</v>
      </c>
      <c r="C398" s="1" t="s">
        <v>564</v>
      </c>
      <c r="D398" s="1" t="s">
        <v>1472</v>
      </c>
      <c r="E398" s="1" t="str">
        <f>VLOOKUP(Table1[[#This Row],[Navn DK]],product_nodes_new_id!A:C,3,FALSE)</f>
        <v>9cdb05a4-ad35-4872-a190-8bb08d823d6c</v>
      </c>
      <c r="F398" s="1">
        <v>1.45092127457102</v>
      </c>
      <c r="G398" s="1">
        <v>0</v>
      </c>
      <c r="H398" s="1">
        <v>1.6092731618195199E-2</v>
      </c>
      <c r="I398" s="1">
        <v>-4.0834914026389698E-3</v>
      </c>
      <c r="J398" s="1">
        <v>1</v>
      </c>
      <c r="K398" s="1" t="s">
        <v>17</v>
      </c>
      <c r="L398" s="1">
        <v>1</v>
      </c>
      <c r="M398" s="1" t="s">
        <v>18</v>
      </c>
      <c r="N398" s="3" t="s">
        <v>1577</v>
      </c>
      <c r="O398" s="1"/>
    </row>
    <row r="399" spans="1:15" x14ac:dyDescent="0.25">
      <c r="A399" s="2" t="s">
        <v>708</v>
      </c>
      <c r="B399" s="1" t="s">
        <v>394</v>
      </c>
      <c r="C399" s="1" t="s">
        <v>709</v>
      </c>
      <c r="D399" s="1" t="s">
        <v>710</v>
      </c>
      <c r="E399" s="1" t="str">
        <f>VLOOKUP(Table1[[#This Row],[Navn DK]],product_nodes_new_id!A:C,3,FALSE)</f>
        <v>bcbad4a0-78ba-45b6-b513-8f5b169f0dcf</v>
      </c>
      <c r="F399" s="1">
        <v>7.8406899728079207E-3</v>
      </c>
      <c r="G399" s="1">
        <v>6.7659246166958103E-3</v>
      </c>
      <c r="H399" s="1">
        <v>0</v>
      </c>
      <c r="I399" s="1">
        <v>-1.5746196289599199E-3</v>
      </c>
      <c r="J399" s="1">
        <v>1</v>
      </c>
      <c r="K399" s="1" t="s">
        <v>17</v>
      </c>
      <c r="L399" s="1">
        <v>1</v>
      </c>
      <c r="M399" s="1" t="s">
        <v>18</v>
      </c>
      <c r="N399" s="3" t="s">
        <v>1612</v>
      </c>
      <c r="O399" s="1"/>
    </row>
    <row r="400" spans="1:15" x14ac:dyDescent="0.25">
      <c r="A400" s="2" t="s">
        <v>1503</v>
      </c>
      <c r="B400" s="1" t="s">
        <v>394</v>
      </c>
      <c r="C400" s="1" t="s">
        <v>1504</v>
      </c>
      <c r="D400" s="1" t="s">
        <v>1505</v>
      </c>
      <c r="E400" s="1" t="str">
        <f>VLOOKUP(Table1[[#This Row],[Navn DK]],product_nodes_new_id!A:C,3,FALSE)</f>
        <v>3ce40d79-b6c6-4367-83c2-fdf135794f70</v>
      </c>
      <c r="F400" s="1">
        <v>15.3887493282022</v>
      </c>
      <c r="G400" s="1">
        <v>0.202977738500874</v>
      </c>
      <c r="H400" s="1">
        <v>0</v>
      </c>
      <c r="I400" s="1">
        <v>-4.7238588868797698E-2</v>
      </c>
      <c r="J400" s="1">
        <v>1</v>
      </c>
      <c r="K400" s="1" t="s">
        <v>24</v>
      </c>
      <c r="L400" s="1">
        <v>30</v>
      </c>
      <c r="M400" s="1" t="s">
        <v>25</v>
      </c>
      <c r="N400" s="3" t="s">
        <v>1506</v>
      </c>
      <c r="O400" s="1"/>
    </row>
    <row r="401" spans="1:15" x14ac:dyDescent="0.25">
      <c r="A401" s="2" t="s">
        <v>803</v>
      </c>
      <c r="B401" s="1" t="s">
        <v>394</v>
      </c>
      <c r="C401" s="1" t="s">
        <v>804</v>
      </c>
      <c r="D401" s="1" t="s">
        <v>805</v>
      </c>
      <c r="E401" s="1" t="str">
        <f>VLOOKUP(Table1[[#This Row],[Navn DK]],product_nodes_new_id!A:C,3,FALSE)</f>
        <v>f67a8cb2-25b2-4008-8532-2be625886ec3</v>
      </c>
      <c r="F401" s="1">
        <v>24.7095385737111</v>
      </c>
      <c r="G401" s="1">
        <v>0</v>
      </c>
      <c r="H401" s="1">
        <v>1.73018176964073</v>
      </c>
      <c r="I401" s="1">
        <v>0</v>
      </c>
      <c r="J401" s="1">
        <v>1</v>
      </c>
      <c r="K401" s="1" t="s">
        <v>159</v>
      </c>
      <c r="L401" s="1">
        <v>98.3</v>
      </c>
      <c r="M401" s="1" t="s">
        <v>160</v>
      </c>
      <c r="N401" s="3" t="s">
        <v>806</v>
      </c>
      <c r="O401" s="1"/>
    </row>
    <row r="402" spans="1:15" x14ac:dyDescent="0.25">
      <c r="A402" s="2" t="s">
        <v>775</v>
      </c>
      <c r="B402" s="1" t="s">
        <v>394</v>
      </c>
      <c r="C402" s="1" t="s">
        <v>776</v>
      </c>
      <c r="D402" s="1" t="s">
        <v>777</v>
      </c>
      <c r="E402" s="1" t="str">
        <f>VLOOKUP(Table1[[#This Row],[Navn DK]],product_nodes_new_id!A:C,3,FALSE)</f>
        <v>e3c60baf-a4a3-4b2e-b9c3-ad6fae108c3f</v>
      </c>
      <c r="F402" s="1">
        <v>49.226712886135999</v>
      </c>
      <c r="G402" s="1">
        <v>0</v>
      </c>
      <c r="H402" s="1">
        <v>3.44207606360846</v>
      </c>
      <c r="I402" s="1">
        <v>0</v>
      </c>
      <c r="J402" s="1">
        <v>1</v>
      </c>
      <c r="K402" s="1" t="s">
        <v>159</v>
      </c>
      <c r="L402" s="1">
        <v>195.6</v>
      </c>
      <c r="M402" s="1" t="s">
        <v>160</v>
      </c>
      <c r="N402" s="3" t="s">
        <v>778</v>
      </c>
      <c r="O402" s="1"/>
    </row>
    <row r="403" spans="1:15" x14ac:dyDescent="0.25">
      <c r="A403" s="2" t="s">
        <v>645</v>
      </c>
      <c r="B403" s="1" t="s">
        <v>394</v>
      </c>
      <c r="C403" s="1" t="s">
        <v>646</v>
      </c>
      <c r="D403" s="1" t="s">
        <v>647</v>
      </c>
      <c r="E403" s="1" t="str">
        <f>VLOOKUP(Table1[[#This Row],[Navn DK]],product_nodes_new_id!A:C,3,FALSE)</f>
        <v>8b759b0c-1987-4033-adf4-aff57cf51525</v>
      </c>
      <c r="F403" s="1">
        <v>4.1932267220294204</v>
      </c>
      <c r="G403" s="1">
        <v>0</v>
      </c>
      <c r="H403" s="1">
        <v>8.8005176482234605E-4</v>
      </c>
      <c r="I403" s="1">
        <v>-1.1778675427615899</v>
      </c>
      <c r="J403" s="1">
        <v>1</v>
      </c>
      <c r="K403" s="1" t="s">
        <v>17</v>
      </c>
      <c r="L403" s="1">
        <v>1</v>
      </c>
      <c r="M403" s="1" t="s">
        <v>18</v>
      </c>
      <c r="N403" s="3" t="s">
        <v>1594</v>
      </c>
      <c r="O403" s="1"/>
    </row>
    <row r="404" spans="1:15" x14ac:dyDescent="0.25">
      <c r="A404" s="2" t="s">
        <v>510</v>
      </c>
      <c r="B404" s="1" t="s">
        <v>394</v>
      </c>
      <c r="C404" s="1" t="s">
        <v>511</v>
      </c>
      <c r="D404" s="1" t="s">
        <v>512</v>
      </c>
      <c r="E404" s="1" t="str">
        <f>VLOOKUP(Table1[[#This Row],[Navn DK]],product_nodes_new_id!A:C,3,FALSE)</f>
        <v>77b61f93-aa51-4829-888c-e01082a5e761</v>
      </c>
      <c r="F404" s="1">
        <v>2.4023882942941901</v>
      </c>
      <c r="G404" s="1">
        <v>2.7341241157639198</v>
      </c>
      <c r="H404" s="1">
        <v>1.7601035296446899E-3</v>
      </c>
      <c r="I404" s="1">
        <v>-0.79749235984479405</v>
      </c>
      <c r="J404" s="1">
        <v>1</v>
      </c>
      <c r="K404" s="1" t="s">
        <v>17</v>
      </c>
      <c r="L404" s="1">
        <v>1</v>
      </c>
      <c r="M404" s="1" t="s">
        <v>18</v>
      </c>
      <c r="N404" s="3" t="s">
        <v>1566</v>
      </c>
      <c r="O404" s="1"/>
    </row>
    <row r="405" spans="1:15" x14ac:dyDescent="0.25">
      <c r="A405" s="2" t="s">
        <v>720</v>
      </c>
      <c r="B405" s="1" t="s">
        <v>394</v>
      </c>
      <c r="C405" s="1" t="s">
        <v>721</v>
      </c>
      <c r="D405" s="1" t="s">
        <v>722</v>
      </c>
      <c r="E405" s="1" t="str">
        <f>VLOOKUP(Table1[[#This Row],[Navn DK]],product_nodes_new_id!A:C,3,FALSE)</f>
        <v>609efb27-b0c5-4b86-9398-7d28a5e9379f</v>
      </c>
      <c r="F405" s="1">
        <v>7.7441423427536293E-2</v>
      </c>
      <c r="G405" s="1">
        <v>0</v>
      </c>
      <c r="H405" s="1">
        <v>0</v>
      </c>
      <c r="I405" s="1">
        <v>-1.70095082391599E-2</v>
      </c>
      <c r="J405" s="1">
        <v>1</v>
      </c>
      <c r="K405" s="1" t="s">
        <v>17</v>
      </c>
      <c r="L405" s="1">
        <v>1</v>
      </c>
      <c r="M405" s="1" t="s">
        <v>18</v>
      </c>
      <c r="N405" s="3" t="s">
        <v>723</v>
      </c>
      <c r="O405" s="1"/>
    </row>
    <row r="406" spans="1:15" x14ac:dyDescent="0.25">
      <c r="A406" s="2" t="s">
        <v>456</v>
      </c>
      <c r="B406" s="1" t="s">
        <v>394</v>
      </c>
      <c r="C406" s="1" t="s">
        <v>457</v>
      </c>
      <c r="D406" s="1" t="s">
        <v>458</v>
      </c>
      <c r="E406" s="1" t="str">
        <f>VLOOKUP(Table1[[#This Row],[Navn DK]],product_nodes_new_id!A:C,3,FALSE)</f>
        <v>fb06f01b-1841-44c6-81ba-fe917e363422</v>
      </c>
      <c r="F406" s="1">
        <v>7.8406899728079207E-3</v>
      </c>
      <c r="G406" s="1">
        <v>6.7659246166958103E-3</v>
      </c>
      <c r="H406" s="1">
        <v>0</v>
      </c>
      <c r="I406" s="1">
        <v>-1.5746196289599199E-3</v>
      </c>
      <c r="J406" s="1">
        <v>1</v>
      </c>
      <c r="K406" s="1" t="s">
        <v>17</v>
      </c>
      <c r="L406" s="1">
        <v>1400</v>
      </c>
      <c r="M406" s="1" t="s">
        <v>69</v>
      </c>
      <c r="N406" s="3" t="s">
        <v>1552</v>
      </c>
      <c r="O406" s="1"/>
    </row>
    <row r="407" spans="1:15" x14ac:dyDescent="0.25">
      <c r="A407" s="2" t="s">
        <v>1078</v>
      </c>
      <c r="B407" s="1" t="s">
        <v>394</v>
      </c>
      <c r="C407" s="1" t="s">
        <v>1079</v>
      </c>
      <c r="D407" s="1" t="s">
        <v>1080</v>
      </c>
      <c r="E407" s="1" t="str">
        <f>VLOOKUP(Table1[[#This Row],[Navn DK]],product_nodes_new_id!A:C,3,FALSE)</f>
        <v>fed06ce5-9c9e-4df6-ab84-e077cf876943</v>
      </c>
      <c r="F407" s="1">
        <v>356.85271497663501</v>
      </c>
      <c r="G407" s="1">
        <v>10.3487505805178</v>
      </c>
      <c r="H407" s="1">
        <v>0</v>
      </c>
      <c r="I407" s="1">
        <v>-2.0205232639824602</v>
      </c>
      <c r="J407" s="1">
        <v>1</v>
      </c>
      <c r="K407" s="1" t="s">
        <v>68</v>
      </c>
      <c r="L407" s="1">
        <v>1400</v>
      </c>
      <c r="M407" s="1" t="s">
        <v>69</v>
      </c>
      <c r="N407" s="3" t="s">
        <v>1081</v>
      </c>
      <c r="O407" s="1"/>
    </row>
    <row r="408" spans="1:15" x14ac:dyDescent="0.25">
      <c r="A408" s="2" t="s">
        <v>375</v>
      </c>
      <c r="B408" s="1" t="s">
        <v>130</v>
      </c>
      <c r="C408" s="1" t="s">
        <v>22</v>
      </c>
      <c r="D408" s="1" t="s">
        <v>376</v>
      </c>
      <c r="E408" s="1" t="str">
        <f>VLOOKUP(Table1[[#This Row],[Navn DK]],product_nodes_new_id!A:C,3,FALSE)</f>
        <v>06525943-e6b9-46ce-b514-4f37c3068776</v>
      </c>
      <c r="F408" s="1">
        <v>-8.9730000000000008</v>
      </c>
      <c r="G408" s="1">
        <v>0</v>
      </c>
      <c r="H408" s="1">
        <v>0</v>
      </c>
      <c r="I408" s="1">
        <v>0</v>
      </c>
      <c r="J408" s="1">
        <v>1</v>
      </c>
      <c r="K408" s="1" t="s">
        <v>339</v>
      </c>
      <c r="L408" s="1">
        <v>2700</v>
      </c>
      <c r="M408" s="1" t="s">
        <v>69</v>
      </c>
      <c r="N408" s="3" t="s">
        <v>133</v>
      </c>
      <c r="O408" s="1"/>
    </row>
    <row r="409" spans="1:15" x14ac:dyDescent="0.25">
      <c r="A409" s="2" t="s">
        <v>573</v>
      </c>
      <c r="B409" s="1" t="s">
        <v>394</v>
      </c>
      <c r="C409" s="1" t="s">
        <v>574</v>
      </c>
      <c r="D409" s="1" t="s">
        <v>575</v>
      </c>
      <c r="E409" s="1" t="str">
        <f>VLOOKUP(Table1[[#This Row],[Navn DK]],product_nodes_new_id!A:C,3,FALSE)</f>
        <v>e79733f6-1a55-42ee-8aa3-ef34139d42a0</v>
      </c>
      <c r="F409" s="1">
        <v>0</v>
      </c>
      <c r="G409" s="1">
        <v>0</v>
      </c>
      <c r="H409" s="1">
        <v>0</v>
      </c>
      <c r="I409" s="1">
        <v>0</v>
      </c>
      <c r="J409" s="1">
        <v>1</v>
      </c>
      <c r="K409" s="1" t="s">
        <v>17</v>
      </c>
      <c r="L409" s="1">
        <v>1</v>
      </c>
      <c r="M409" s="1" t="s">
        <v>18</v>
      </c>
      <c r="N409" s="3" t="s">
        <v>1579</v>
      </c>
      <c r="O409" s="1"/>
    </row>
    <row r="410" spans="1:15" x14ac:dyDescent="0.25">
      <c r="A410" s="2" t="s">
        <v>867</v>
      </c>
      <c r="B410" s="1" t="s">
        <v>394</v>
      </c>
      <c r="C410" s="1" t="s">
        <v>868</v>
      </c>
      <c r="D410" s="1" t="s">
        <v>869</v>
      </c>
      <c r="E410" s="1" t="str">
        <f>VLOOKUP(Table1[[#This Row],[Navn DK]],product_nodes_new_id!A:C,3,FALSE)</f>
        <v>61d5b2d2-8329-4405-b0c4-9d77fb790764</v>
      </c>
      <c r="F410" s="1">
        <v>2.4901743700349801</v>
      </c>
      <c r="G410" s="1">
        <v>1.10231269034867</v>
      </c>
      <c r="H410" s="1">
        <v>0</v>
      </c>
      <c r="I410" s="1">
        <v>-0.25791651239035601</v>
      </c>
      <c r="J410" s="1">
        <v>1</v>
      </c>
      <c r="K410" s="1" t="s">
        <v>24</v>
      </c>
      <c r="L410" s="1">
        <v>0.4</v>
      </c>
      <c r="M410" s="1" t="s">
        <v>25</v>
      </c>
      <c r="N410" s="3" t="s">
        <v>1632</v>
      </c>
      <c r="O410" s="1"/>
    </row>
    <row r="411" spans="1:15" x14ac:dyDescent="0.25">
      <c r="A411" s="2" t="s">
        <v>193</v>
      </c>
      <c r="B411" s="1" t="s">
        <v>130</v>
      </c>
      <c r="C411" s="1" t="s">
        <v>22</v>
      </c>
      <c r="D411" s="1" t="s">
        <v>194</v>
      </c>
      <c r="E411" s="1" t="str">
        <f>VLOOKUP(Table1[[#This Row],[Navn DK]],product_nodes_new_id!A:C,3,FALSE)</f>
        <v>560f7f5b-ba95-48de-842a-b87dd9710a98</v>
      </c>
      <c r="F411" s="1">
        <v>42.68</v>
      </c>
      <c r="G411" s="1">
        <v>0.38059999999999999</v>
      </c>
      <c r="H411" s="1">
        <v>3.4540000000000001E-2</v>
      </c>
      <c r="I411" s="1">
        <v>-14.76</v>
      </c>
      <c r="J411" s="1">
        <v>1</v>
      </c>
      <c r="K411" s="1" t="s">
        <v>24</v>
      </c>
      <c r="L411" s="1">
        <v>5.4924999999999997</v>
      </c>
      <c r="M411" s="1" t="s">
        <v>25</v>
      </c>
      <c r="N411" s="15" t="s">
        <v>133</v>
      </c>
      <c r="O411" s="1"/>
    </row>
    <row r="412" spans="1:15" x14ac:dyDescent="0.25">
      <c r="A412" s="2" t="s">
        <v>217</v>
      </c>
      <c r="B412" s="1" t="s">
        <v>130</v>
      </c>
      <c r="C412" s="1" t="s">
        <v>22</v>
      </c>
      <c r="D412" s="1" t="s">
        <v>218</v>
      </c>
      <c r="E412" s="1" t="str">
        <f>VLOOKUP(Table1[[#This Row],[Navn DK]],product_nodes_new_id!A:C,3,FALSE)</f>
        <v>b87456e8-f085-45ae-89d7-82e14aaa0e6c</v>
      </c>
      <c r="F412" s="1">
        <v>174.9</v>
      </c>
      <c r="G412" s="1">
        <v>3.5530000000000004</v>
      </c>
      <c r="H412" s="1">
        <v>7.9530000000000003E-2</v>
      </c>
      <c r="I412" s="1">
        <v>-13.1</v>
      </c>
      <c r="J412" s="1">
        <v>1</v>
      </c>
      <c r="K412" s="1" t="s">
        <v>24</v>
      </c>
      <c r="L412" s="1">
        <v>19</v>
      </c>
      <c r="M412" s="1" t="s">
        <v>25</v>
      </c>
      <c r="N412" s="15" t="s">
        <v>133</v>
      </c>
      <c r="O412" s="1"/>
    </row>
    <row r="413" spans="1:15" x14ac:dyDescent="0.25">
      <c r="A413" s="2" t="s">
        <v>213</v>
      </c>
      <c r="B413" s="1" t="s">
        <v>130</v>
      </c>
      <c r="C413" s="1" t="s">
        <v>22</v>
      </c>
      <c r="D413" s="1" t="s">
        <v>214</v>
      </c>
      <c r="E413" s="1" t="str">
        <f>VLOOKUP(Table1[[#This Row],[Navn DK]],product_nodes_new_id!A:C,3,FALSE)</f>
        <v>fac7e5b1-d2f3-4976-9ef2-db28a0364dfe</v>
      </c>
      <c r="F413" s="1">
        <v>51.691200000000009</v>
      </c>
      <c r="G413" s="1">
        <v>3.8332800000000007</v>
      </c>
      <c r="H413" s="1">
        <v>0</v>
      </c>
      <c r="I413" s="1">
        <v>-15.348960000000002</v>
      </c>
      <c r="J413" s="1">
        <v>1</v>
      </c>
      <c r="K413" s="1" t="s">
        <v>24</v>
      </c>
      <c r="L413" s="1">
        <v>13.967611336032387</v>
      </c>
      <c r="M413" s="1" t="s">
        <v>25</v>
      </c>
      <c r="N413" s="3" t="s">
        <v>133</v>
      </c>
      <c r="O413" s="1"/>
    </row>
    <row r="414" spans="1:15" x14ac:dyDescent="0.25">
      <c r="A414" s="2" t="s">
        <v>187</v>
      </c>
      <c r="B414" s="1" t="s">
        <v>130</v>
      </c>
      <c r="C414" s="1" t="s">
        <v>22</v>
      </c>
      <c r="D414" s="1" t="s">
        <v>188</v>
      </c>
      <c r="E414" s="1" t="str">
        <f>VLOOKUP(Table1[[#This Row],[Navn DK]],product_nodes_new_id!A:C,3,FALSE)</f>
        <v>1fe11ca2-1bcf-4c15-a734-0c770ea21c5e</v>
      </c>
      <c r="F414" s="1">
        <v>14.045900000000001</v>
      </c>
      <c r="G414" s="1">
        <v>2.3539999999999996</v>
      </c>
      <c r="H414" s="1">
        <v>1.6247000000000001E-2</v>
      </c>
      <c r="I414" s="1">
        <v>-2.8412999999999999</v>
      </c>
      <c r="J414" s="1">
        <v>1</v>
      </c>
      <c r="K414" s="1" t="s">
        <v>24</v>
      </c>
      <c r="L414" s="1">
        <v>2.9948356352044936</v>
      </c>
      <c r="M414" s="1" t="s">
        <v>25</v>
      </c>
      <c r="N414" s="3" t="s">
        <v>133</v>
      </c>
      <c r="O414" s="1"/>
    </row>
    <row r="415" spans="1:15" x14ac:dyDescent="0.25">
      <c r="A415" s="2" t="s">
        <v>942</v>
      </c>
      <c r="B415" s="1" t="s">
        <v>394</v>
      </c>
      <c r="C415" s="1" t="s">
        <v>943</v>
      </c>
      <c r="D415" s="1" t="s">
        <v>944</v>
      </c>
      <c r="E415" s="1" t="str">
        <f>VLOOKUP(Table1[[#This Row],[Navn DK]],product_nodes_new_id!A:C,3,FALSE)</f>
        <v>3a99b802-5b08-4b6f-80c9-57a72f1fc1b5</v>
      </c>
      <c r="F415" s="1">
        <v>93.451965630227093</v>
      </c>
      <c r="G415" s="1">
        <v>1.00433492519061</v>
      </c>
      <c r="H415" s="1">
        <v>0.18663081766234499</v>
      </c>
      <c r="I415" s="1">
        <v>-45.628306692651002</v>
      </c>
      <c r="J415" s="1">
        <v>1</v>
      </c>
      <c r="K415" s="1" t="s">
        <v>24</v>
      </c>
      <c r="L415" s="1">
        <v>18.27</v>
      </c>
      <c r="M415" s="1" t="s">
        <v>25</v>
      </c>
      <c r="N415" s="3" t="s">
        <v>1641</v>
      </c>
      <c r="O415" s="1"/>
    </row>
    <row r="416" spans="1:15" x14ac:dyDescent="0.25">
      <c r="A416" s="2" t="s">
        <v>877</v>
      </c>
      <c r="B416" s="1" t="s">
        <v>394</v>
      </c>
      <c r="C416" s="1" t="s">
        <v>878</v>
      </c>
      <c r="D416" s="1" t="s">
        <v>879</v>
      </c>
      <c r="E416" s="1" t="str">
        <f>VLOOKUP(Table1[[#This Row],[Navn DK]],product_nodes_new_id!A:C,3,FALSE)</f>
        <v>29b31301-0a42-4994-aa85-822b1fc2405a</v>
      </c>
      <c r="F416" s="1">
        <v>89.729775203067604</v>
      </c>
      <c r="G416" s="1">
        <v>2.0202139299811201</v>
      </c>
      <c r="H416" s="1">
        <v>0.341155586840442</v>
      </c>
      <c r="I416" s="1">
        <v>-30.9859122911211</v>
      </c>
      <c r="J416" s="1">
        <v>1</v>
      </c>
      <c r="K416" s="1" t="s">
        <v>24</v>
      </c>
      <c r="L416" s="1">
        <v>29.5</v>
      </c>
      <c r="M416" s="1" t="s">
        <v>25</v>
      </c>
      <c r="N416" s="3" t="s">
        <v>880</v>
      </c>
      <c r="O416" s="1"/>
    </row>
    <row r="417" spans="1:15" x14ac:dyDescent="0.25">
      <c r="A417" s="2" t="s">
        <v>1051</v>
      </c>
      <c r="B417" s="1" t="s">
        <v>394</v>
      </c>
      <c r="C417" s="1" t="s">
        <v>1052</v>
      </c>
      <c r="D417" s="1" t="s">
        <v>1053</v>
      </c>
      <c r="E417" s="1" t="str">
        <f>VLOOKUP(Table1[[#This Row],[Navn DK]],product_nodes_new_id!A:C,3,FALSE)</f>
        <v>0952bd89-5ade-438e-97ad-01a0b9c16ef7</v>
      </c>
      <c r="F417" s="1">
        <v>-852.1</v>
      </c>
      <c r="G417" s="1">
        <v>1361</v>
      </c>
      <c r="H417" s="1">
        <v>0</v>
      </c>
      <c r="I417" s="1">
        <v>-290.7</v>
      </c>
      <c r="J417" s="1">
        <v>1</v>
      </c>
      <c r="K417" s="1" t="s">
        <v>68</v>
      </c>
      <c r="L417" s="1">
        <v>700</v>
      </c>
      <c r="M417" s="1" t="s">
        <v>69</v>
      </c>
      <c r="N417" s="15" t="s">
        <v>1054</v>
      </c>
      <c r="O417" s="1"/>
    </row>
    <row r="418" spans="1:15" x14ac:dyDescent="0.25">
      <c r="A418" s="2" t="s">
        <v>1047</v>
      </c>
      <c r="B418" s="1" t="s">
        <v>394</v>
      </c>
      <c r="C418" s="1" t="s">
        <v>1048</v>
      </c>
      <c r="D418" s="1" t="s">
        <v>1049</v>
      </c>
      <c r="E418" s="1" t="str">
        <f>VLOOKUP(Table1[[#This Row],[Navn DK]],product_nodes_new_id!A:C,3,FALSE)</f>
        <v>21752b78-178a-4954-92c7-45b2afe553e7</v>
      </c>
      <c r="F418" s="1">
        <v>-775</v>
      </c>
      <c r="G418" s="1">
        <v>983.4</v>
      </c>
      <c r="H418" s="1">
        <v>0</v>
      </c>
      <c r="I418" s="1">
        <v>-70.5</v>
      </c>
      <c r="J418" s="1">
        <v>1</v>
      </c>
      <c r="K418" s="1" t="s">
        <v>68</v>
      </c>
      <c r="L418" s="1">
        <v>633.29</v>
      </c>
      <c r="M418" s="1" t="s">
        <v>69</v>
      </c>
      <c r="N418" s="3" t="s">
        <v>1050</v>
      </c>
      <c r="O418" s="1"/>
    </row>
    <row r="419" spans="1:15" x14ac:dyDescent="0.25">
      <c r="A419" s="2" t="s">
        <v>472</v>
      </c>
      <c r="B419" s="1" t="s">
        <v>394</v>
      </c>
      <c r="C419" s="1" t="s">
        <v>473</v>
      </c>
      <c r="D419" s="1" t="s">
        <v>474</v>
      </c>
      <c r="E419" s="1" t="str">
        <f>VLOOKUP(Table1[[#This Row],[Navn DK]],product_nodes_new_id!A:C,3,FALSE)</f>
        <v>fe9d0c8d-7b96-4a57-acaf-8c825c5952ce</v>
      </c>
      <c r="F419" s="1">
        <v>7.8406899728079207E-3</v>
      </c>
      <c r="G419" s="1">
        <v>6.7659246166958103E-3</v>
      </c>
      <c r="H419" s="1">
        <v>0</v>
      </c>
      <c r="I419" s="1">
        <v>-1.5746196289599199E-3</v>
      </c>
      <c r="J419" s="1">
        <v>1</v>
      </c>
      <c r="K419" s="1" t="s">
        <v>17</v>
      </c>
      <c r="L419" s="1">
        <v>1320</v>
      </c>
      <c r="M419" s="1" t="s">
        <v>69</v>
      </c>
      <c r="N419" s="3" t="s">
        <v>1556</v>
      </c>
      <c r="O419" s="1"/>
    </row>
    <row r="420" spans="1:15" x14ac:dyDescent="0.25">
      <c r="A420" s="2" t="s">
        <v>1413</v>
      </c>
      <c r="B420" s="1" t="s">
        <v>394</v>
      </c>
      <c r="C420" s="1" t="s">
        <v>1414</v>
      </c>
      <c r="D420" s="1" t="s">
        <v>1415</v>
      </c>
      <c r="E420" s="1" t="str">
        <f>VLOOKUP(Table1[[#This Row],[Navn DK]],product_nodes_new_id!A:C,3,FALSE)</f>
        <v>f02caf59-fe47-4765-8ceb-2c061407690b</v>
      </c>
      <c r="F420" s="1">
        <v>1622.0780669610899</v>
      </c>
      <c r="G420" s="1">
        <v>0</v>
      </c>
      <c r="H420" s="1">
        <v>5.8497208654966801</v>
      </c>
      <c r="I420" s="1">
        <v>-569.27750310881504</v>
      </c>
      <c r="J420" s="1">
        <v>1</v>
      </c>
      <c r="K420" s="1" t="s">
        <v>123</v>
      </c>
      <c r="L420" s="1">
        <v>631</v>
      </c>
      <c r="M420" s="1" t="s">
        <v>124</v>
      </c>
      <c r="N420" s="3" t="s">
        <v>1683</v>
      </c>
      <c r="O420" s="1"/>
    </row>
    <row r="421" spans="1:15" x14ac:dyDescent="0.25">
      <c r="A421" s="2" t="s">
        <v>1373</v>
      </c>
      <c r="B421" s="1" t="s">
        <v>394</v>
      </c>
      <c r="C421" s="1" t="s">
        <v>1374</v>
      </c>
      <c r="D421" s="1" t="s">
        <v>1375</v>
      </c>
      <c r="E421" s="1" t="str">
        <f>VLOOKUP(Table1[[#This Row],[Navn DK]],product_nodes_new_id!A:C,3,FALSE)</f>
        <v>b1f5407f-778c-4e6b-bcff-067ebc393df1</v>
      </c>
      <c r="F421" s="1">
        <v>7167.1916330733602</v>
      </c>
      <c r="G421" s="1">
        <v>0</v>
      </c>
      <c r="H421" s="1">
        <v>22.311106727534</v>
      </c>
      <c r="I421" s="1">
        <v>-3074.5504273927399</v>
      </c>
      <c r="J421" s="1">
        <v>1</v>
      </c>
      <c r="K421" s="1" t="s">
        <v>123</v>
      </c>
      <c r="L421" s="1">
        <v>3399</v>
      </c>
      <c r="M421" s="1" t="s">
        <v>124</v>
      </c>
      <c r="N421" s="3" t="s">
        <v>1682</v>
      </c>
      <c r="O421" s="1"/>
    </row>
    <row r="422" spans="1:15" x14ac:dyDescent="0.25">
      <c r="A422" s="2" t="s">
        <v>1431</v>
      </c>
      <c r="B422" s="1" t="s">
        <v>394</v>
      </c>
      <c r="C422" s="1" t="s">
        <v>1432</v>
      </c>
      <c r="D422" s="1" t="s">
        <v>1433</v>
      </c>
      <c r="E422" s="1" t="str">
        <f>VLOOKUP(Table1[[#This Row],[Navn DK]],product_nodes_new_id!A:C,3,FALSE)</f>
        <v>305ef1ee-5a9b-4b73-906f-73f54c83b84e</v>
      </c>
      <c r="F422" s="1">
        <v>2203.0299275959701</v>
      </c>
      <c r="G422" s="1">
        <v>0</v>
      </c>
      <c r="H422" s="1">
        <v>7.5743759100543304</v>
      </c>
      <c r="I422" s="1">
        <v>-831.74926032482301</v>
      </c>
      <c r="J422" s="1">
        <v>1</v>
      </c>
      <c r="K422" s="1" t="s">
        <v>123</v>
      </c>
      <c r="L422" s="1">
        <v>921</v>
      </c>
      <c r="M422" s="1" t="s">
        <v>124</v>
      </c>
      <c r="N422" s="3" t="s">
        <v>1685</v>
      </c>
      <c r="O422" s="1"/>
    </row>
    <row r="423" spans="1:15" x14ac:dyDescent="0.25">
      <c r="A423" s="2" t="s">
        <v>324</v>
      </c>
      <c r="B423" s="1" t="s">
        <v>130</v>
      </c>
      <c r="C423" s="1" t="s">
        <v>22</v>
      </c>
      <c r="D423" s="1" t="s">
        <v>325</v>
      </c>
      <c r="E423" s="1" t="str">
        <f>VLOOKUP(Table1[[#This Row],[Navn DK]],product_nodes_new_id!A:C,3,FALSE)</f>
        <v>594f848c-a620-405a-8a6e-f3bac0607496</v>
      </c>
      <c r="F423" s="1">
        <v>-139.5</v>
      </c>
      <c r="G423" s="1">
        <v>95.04000000000002</v>
      </c>
      <c r="H423" s="1">
        <v>0</v>
      </c>
      <c r="I423" s="1">
        <v>-9.09</v>
      </c>
      <c r="J423" s="1">
        <v>1</v>
      </c>
      <c r="K423" s="1" t="s">
        <v>68</v>
      </c>
      <c r="L423" s="1">
        <v>103.3</v>
      </c>
      <c r="M423" s="1" t="s">
        <v>69</v>
      </c>
      <c r="N423" s="3" t="s">
        <v>133</v>
      </c>
      <c r="O423" s="1"/>
    </row>
    <row r="424" spans="1:15" x14ac:dyDescent="0.25">
      <c r="A424" s="2" t="s">
        <v>624</v>
      </c>
      <c r="B424" s="1" t="s">
        <v>394</v>
      </c>
      <c r="C424" s="1" t="s">
        <v>625</v>
      </c>
      <c r="D424" s="1" t="s">
        <v>518</v>
      </c>
      <c r="E424" s="1" t="str">
        <f>VLOOKUP(Table1[[#This Row],[Navn DK]],product_nodes_new_id!A:C,3,FALSE)</f>
        <v>dccd800c-7fe1-4b1a-a5c1-862643cbc7b0</v>
      </c>
      <c r="F424" s="1">
        <v>0.12506640962520199</v>
      </c>
      <c r="G424" s="1">
        <v>0</v>
      </c>
      <c r="H424" s="1">
        <v>8.43076284160406E-2</v>
      </c>
      <c r="I424" s="1">
        <v>0</v>
      </c>
      <c r="J424" s="1">
        <v>1</v>
      </c>
      <c r="K424" s="1" t="s">
        <v>17</v>
      </c>
      <c r="L424" s="1">
        <v>2400</v>
      </c>
      <c r="M424" s="1" t="s">
        <v>69</v>
      </c>
      <c r="N424" s="15" t="s">
        <v>1590</v>
      </c>
      <c r="O424" s="1"/>
    </row>
    <row r="425" spans="1:15" x14ac:dyDescent="0.25">
      <c r="A425" s="2" t="s">
        <v>155</v>
      </c>
      <c r="B425" s="1" t="s">
        <v>130</v>
      </c>
      <c r="C425" s="1" t="s">
        <v>22</v>
      </c>
      <c r="D425" s="1" t="s">
        <v>156</v>
      </c>
      <c r="E425" s="1" t="str">
        <f>VLOOKUP(Table1[[#This Row],[Navn DK]],product_nodes_new_id!A:C,3,FALSE)</f>
        <v>d21e63dd-72e3-4b18-92fb-0a63190774c1</v>
      </c>
      <c r="F425" s="1">
        <v>0.61380000000000012</v>
      </c>
      <c r="G425" s="1">
        <v>0</v>
      </c>
      <c r="H425" s="1">
        <v>1.8810000000000004E-2</v>
      </c>
      <c r="I425" s="1">
        <v>-3.1500000000000007E-2</v>
      </c>
      <c r="J425" s="1">
        <v>1</v>
      </c>
      <c r="K425" s="1" t="s">
        <v>17</v>
      </c>
      <c r="L425" s="1">
        <v>1700</v>
      </c>
      <c r="M425" s="1" t="s">
        <v>69</v>
      </c>
      <c r="N425" s="3" t="s">
        <v>133</v>
      </c>
      <c r="O425" s="1"/>
    </row>
    <row r="426" spans="1:15" x14ac:dyDescent="0.25">
      <c r="A426" s="2" t="s">
        <v>391</v>
      </c>
      <c r="B426" s="1" t="s">
        <v>130</v>
      </c>
      <c r="C426" s="1" t="s">
        <v>22</v>
      </c>
      <c r="D426" s="1" t="s">
        <v>392</v>
      </c>
      <c r="E426" s="1" t="str">
        <f>VLOOKUP(Table1[[#This Row],[Navn DK]],product_nodes_new_id!A:C,3,FALSE)</f>
        <v>4e26b2a7-5ee3-453a-b648-d94f1c0a23b1</v>
      </c>
      <c r="F426" s="1">
        <v>3432.0000000000005</v>
      </c>
      <c r="G426" s="1">
        <v>2.7280000000000002</v>
      </c>
      <c r="H426" s="1">
        <v>0</v>
      </c>
      <c r="I426" s="1">
        <v>-1737</v>
      </c>
      <c r="J426" s="1">
        <v>1</v>
      </c>
      <c r="K426" s="1" t="s">
        <v>339</v>
      </c>
      <c r="L426" s="1">
        <v>7850</v>
      </c>
      <c r="M426" s="1" t="s">
        <v>69</v>
      </c>
      <c r="N426" s="3" t="s">
        <v>133</v>
      </c>
      <c r="O426" s="1"/>
    </row>
    <row r="427" spans="1:15" x14ac:dyDescent="0.25">
      <c r="A427" s="2" t="s">
        <v>475</v>
      </c>
      <c r="B427" s="1" t="s">
        <v>394</v>
      </c>
      <c r="C427" s="1" t="s">
        <v>476</v>
      </c>
      <c r="D427" s="1" t="s">
        <v>477</v>
      </c>
      <c r="E427" s="1" t="str">
        <f>VLOOKUP(Table1[[#This Row],[Navn DK]],product_nodes_new_id!A:C,3,FALSE)</f>
        <v>470fc8a8-2631-47de-aa2a-bb799809def6</v>
      </c>
      <c r="F427" s="1">
        <v>2.78061780102751</v>
      </c>
      <c r="G427" s="1">
        <v>0</v>
      </c>
      <c r="H427" s="1">
        <v>0</v>
      </c>
      <c r="I427" s="1">
        <v>-1.33168532127605</v>
      </c>
      <c r="J427" s="1">
        <v>1</v>
      </c>
      <c r="K427" s="1" t="s">
        <v>17</v>
      </c>
      <c r="L427" s="1">
        <v>7850</v>
      </c>
      <c r="M427" s="1" t="s">
        <v>69</v>
      </c>
      <c r="N427" s="3" t="s">
        <v>1557</v>
      </c>
      <c r="O427" s="1"/>
    </row>
    <row r="428" spans="1:15" x14ac:dyDescent="0.25">
      <c r="A428" s="2" t="s">
        <v>1015</v>
      </c>
      <c r="B428" s="1" t="s">
        <v>394</v>
      </c>
      <c r="C428" s="1" t="s">
        <v>1016</v>
      </c>
      <c r="D428" s="1" t="s">
        <v>1017</v>
      </c>
      <c r="E428" s="1" t="str">
        <f>VLOOKUP(Table1[[#This Row],[Navn DK]],product_nodes_new_id!A:C,3,FALSE)</f>
        <v>d88d1efc-06c7-4c51-88bd-a24a53e428ac</v>
      </c>
      <c r="F428" s="1">
        <v>16.7893731613322</v>
      </c>
      <c r="G428" s="1">
        <v>0</v>
      </c>
      <c r="H428" s="1">
        <v>0</v>
      </c>
      <c r="I428" s="1">
        <v>-7.8865178374190403</v>
      </c>
      <c r="J428" s="1">
        <v>1</v>
      </c>
      <c r="K428" s="1" t="s">
        <v>24</v>
      </c>
      <c r="L428" s="1">
        <v>5.72</v>
      </c>
      <c r="M428" s="1" t="s">
        <v>25</v>
      </c>
      <c r="N428" s="3" t="s">
        <v>1648</v>
      </c>
      <c r="O428" s="1"/>
    </row>
    <row r="429" spans="1:15" x14ac:dyDescent="0.25">
      <c r="A429" s="2" t="s">
        <v>522</v>
      </c>
      <c r="B429" s="1" t="s">
        <v>394</v>
      </c>
      <c r="C429" s="1" t="s">
        <v>523</v>
      </c>
      <c r="D429" s="1" t="s">
        <v>524</v>
      </c>
      <c r="E429" s="1" t="str">
        <f>VLOOKUP(Table1[[#This Row],[Navn DK]],product_nodes_new_id!A:C,3,FALSE)</f>
        <v>58508915-bc93-44cb-9781-a4a93c012588</v>
      </c>
      <c r="F429" s="1">
        <v>2.7824722850578301</v>
      </c>
      <c r="G429" s="1">
        <v>0</v>
      </c>
      <c r="H429" s="1">
        <v>0</v>
      </c>
      <c r="I429" s="1">
        <v>-1.50772570440461</v>
      </c>
      <c r="J429" s="1">
        <v>0.999999999999999</v>
      </c>
      <c r="K429" s="1" t="s">
        <v>17</v>
      </c>
      <c r="L429" s="1">
        <v>7850</v>
      </c>
      <c r="M429" s="1" t="s">
        <v>69</v>
      </c>
      <c r="N429" s="3" t="s">
        <v>1570</v>
      </c>
      <c r="O429" s="1"/>
    </row>
    <row r="430" spans="1:15" x14ac:dyDescent="0.25">
      <c r="A430" s="2" t="s">
        <v>641</v>
      </c>
      <c r="B430" s="1" t="s">
        <v>394</v>
      </c>
      <c r="C430" s="1" t="s">
        <v>642</v>
      </c>
      <c r="D430" s="1" t="s">
        <v>643</v>
      </c>
      <c r="E430" s="1" t="str">
        <f>VLOOKUP(Table1[[#This Row],[Navn DK]],product_nodes_new_id!A:C,3,FALSE)</f>
        <v>49b05d3e-61e8-4daa-a5e0-cd02ee3eb354</v>
      </c>
      <c r="F430" s="1">
        <v>2.7824722850578301</v>
      </c>
      <c r="G430" s="1">
        <v>0</v>
      </c>
      <c r="H430" s="1">
        <v>0</v>
      </c>
      <c r="I430" s="1">
        <v>-1.50772570440461</v>
      </c>
      <c r="J430" s="1">
        <v>0.999999999999999</v>
      </c>
      <c r="K430" s="1" t="s">
        <v>17</v>
      </c>
      <c r="L430" s="1">
        <v>7850</v>
      </c>
      <c r="M430" s="1" t="s">
        <v>69</v>
      </c>
      <c r="N430" s="3" t="s">
        <v>644</v>
      </c>
      <c r="O430" s="1"/>
    </row>
    <row r="431" spans="1:15" x14ac:dyDescent="0.25">
      <c r="A431" s="2" t="s">
        <v>481</v>
      </c>
      <c r="B431" s="1" t="s">
        <v>394</v>
      </c>
      <c r="C431" s="1" t="s">
        <v>482</v>
      </c>
      <c r="D431" s="1" t="s">
        <v>483</v>
      </c>
      <c r="E431" s="1" t="str">
        <f>VLOOKUP(Table1[[#This Row],[Navn DK]],product_nodes_new_id!A:C,3,FALSE)</f>
        <v>dec6600f-1f70-4f09-a033-4c9c5715bff4</v>
      </c>
      <c r="F431" s="1">
        <v>3.6228887790933202</v>
      </c>
      <c r="G431" s="1">
        <v>0</v>
      </c>
      <c r="H431" s="1">
        <v>0</v>
      </c>
      <c r="I431" s="1">
        <v>-0.704584523959364</v>
      </c>
      <c r="J431" s="1">
        <v>1</v>
      </c>
      <c r="K431" s="1" t="s">
        <v>17</v>
      </c>
      <c r="L431" s="1">
        <v>7900</v>
      </c>
      <c r="M431" s="1" t="s">
        <v>69</v>
      </c>
      <c r="N431" s="3" t="s">
        <v>1559</v>
      </c>
      <c r="O431" s="1"/>
    </row>
    <row r="432" spans="1:15" x14ac:dyDescent="0.25">
      <c r="A432" s="2" t="s">
        <v>648</v>
      </c>
      <c r="B432" s="1" t="s">
        <v>394</v>
      </c>
      <c r="C432" s="1" t="s">
        <v>649</v>
      </c>
      <c r="D432" s="1" t="s">
        <v>650</v>
      </c>
      <c r="E432" s="1" t="str">
        <f>VLOOKUP(Table1[[#This Row],[Navn DK]],product_nodes_new_id!A:C,3,FALSE)</f>
        <v>ea0e01a0-73cc-4777-806e-e572ccd58a39</v>
      </c>
      <c r="F432" s="1">
        <v>2.5257326779085698</v>
      </c>
      <c r="G432" s="1">
        <v>0</v>
      </c>
      <c r="H432" s="1">
        <v>1.6092731618195201E-3</v>
      </c>
      <c r="I432" s="1">
        <v>-1.3423498898380499</v>
      </c>
      <c r="J432" s="1">
        <v>1</v>
      </c>
      <c r="K432" s="1" t="s">
        <v>17</v>
      </c>
      <c r="L432" s="1">
        <v>7850</v>
      </c>
      <c r="M432" s="1" t="s">
        <v>69</v>
      </c>
      <c r="N432" s="3" t="s">
        <v>1595</v>
      </c>
      <c r="O432" s="1"/>
    </row>
    <row r="433" spans="1:15" x14ac:dyDescent="0.25">
      <c r="A433" s="2" t="s">
        <v>948</v>
      </c>
      <c r="B433" s="1" t="s">
        <v>394</v>
      </c>
      <c r="C433" s="1" t="s">
        <v>949</v>
      </c>
      <c r="D433" s="1" t="s">
        <v>950</v>
      </c>
      <c r="E433" s="1" t="str">
        <f>VLOOKUP(Table1[[#This Row],[Navn DK]],product_nodes_new_id!A:C,3,FALSE)</f>
        <v>e7870088-f8d1-45a0-9c4a-777b38bb9047</v>
      </c>
      <c r="F433" s="1">
        <v>8.3497750651967095</v>
      </c>
      <c r="G433" s="1">
        <v>6.7960571683743298</v>
      </c>
      <c r="H433" s="1">
        <v>0</v>
      </c>
      <c r="I433" s="1">
        <v>-2.4035281930208998</v>
      </c>
      <c r="J433" s="1">
        <v>1</v>
      </c>
      <c r="K433" s="1" t="s">
        <v>24</v>
      </c>
      <c r="L433" s="1">
        <v>2</v>
      </c>
      <c r="M433" s="1" t="s">
        <v>25</v>
      </c>
      <c r="N433" s="3" t="s">
        <v>951</v>
      </c>
      <c r="O433" s="1"/>
    </row>
    <row r="434" spans="1:15" x14ac:dyDescent="0.25">
      <c r="A434" s="2" t="s">
        <v>900</v>
      </c>
      <c r="B434" s="1" t="s">
        <v>394</v>
      </c>
      <c r="C434" s="1" t="s">
        <v>901</v>
      </c>
      <c r="D434" s="1" t="s">
        <v>902</v>
      </c>
      <c r="E434" s="1" t="str">
        <f>VLOOKUP(Table1[[#This Row],[Navn DK]],product_nodes_new_id!A:C,3,FALSE)</f>
        <v>d7993d6c-949f-4f57-9289-c1529123157e</v>
      </c>
      <c r="F434" s="1">
        <v>5.8287973146776899</v>
      </c>
      <c r="G434" s="1">
        <v>3.7355604555124899</v>
      </c>
      <c r="H434" s="1">
        <v>0</v>
      </c>
      <c r="I434" s="1">
        <v>-0.76808731425372201</v>
      </c>
      <c r="J434" s="1">
        <v>1</v>
      </c>
      <c r="K434" s="1" t="s">
        <v>24</v>
      </c>
      <c r="L434" s="1">
        <v>1.5</v>
      </c>
      <c r="M434" s="1" t="s">
        <v>25</v>
      </c>
      <c r="N434" s="3" t="s">
        <v>903</v>
      </c>
      <c r="O434" s="1"/>
    </row>
    <row r="435" spans="1:15" x14ac:dyDescent="0.25">
      <c r="A435" s="2" t="s">
        <v>1033</v>
      </c>
      <c r="B435" s="1" t="s">
        <v>394</v>
      </c>
      <c r="C435" s="1" t="s">
        <v>1034</v>
      </c>
      <c r="D435" s="1" t="s">
        <v>1035</v>
      </c>
      <c r="E435" s="1" t="str">
        <f>VLOOKUP(Table1[[#This Row],[Navn DK]],product_nodes_new_id!A:C,3,FALSE)</f>
        <v>22200028-93dc-4e36-b0e2-f6c99ff32a68</v>
      </c>
      <c r="F435" s="1">
        <v>4.98463688379488</v>
      </c>
      <c r="G435" s="1">
        <v>0</v>
      </c>
      <c r="H435" s="1">
        <v>0.522707296179451</v>
      </c>
      <c r="I435" s="1">
        <v>0</v>
      </c>
      <c r="J435" s="1">
        <v>0.999999999999997</v>
      </c>
      <c r="K435" s="1" t="s">
        <v>24</v>
      </c>
      <c r="L435" s="1">
        <v>6.2</v>
      </c>
      <c r="M435" s="1" t="s">
        <v>25</v>
      </c>
      <c r="N435" s="3" t="s">
        <v>1036</v>
      </c>
      <c r="O435" s="1"/>
    </row>
    <row r="436" spans="1:15" x14ac:dyDescent="0.25">
      <c r="A436" s="2" t="s">
        <v>185</v>
      </c>
      <c r="B436" s="1" t="s">
        <v>130</v>
      </c>
      <c r="C436" s="1" t="s">
        <v>22</v>
      </c>
      <c r="D436" s="1" t="s">
        <v>186</v>
      </c>
      <c r="E436" s="1" t="str">
        <f>VLOOKUP(Table1[[#This Row],[Navn DK]],product_nodes_new_id!A:C,3,FALSE)</f>
        <v>5a4650e5-19d3-4498-8900-e6da4fc48cfd</v>
      </c>
      <c r="F436" s="1">
        <v>1.1000000000000001</v>
      </c>
      <c r="G436" s="1">
        <v>6.7870000000000008</v>
      </c>
      <c r="H436" s="1">
        <v>2.8160000000000004E-3</v>
      </c>
      <c r="I436" s="1">
        <v>-1.296</v>
      </c>
      <c r="J436" s="1">
        <v>1</v>
      </c>
      <c r="K436" s="1" t="s">
        <v>24</v>
      </c>
      <c r="L436" s="1">
        <v>2.9649999999999999</v>
      </c>
      <c r="M436" s="1" t="s">
        <v>25</v>
      </c>
      <c r="N436" s="3" t="s">
        <v>133</v>
      </c>
      <c r="O436" s="1"/>
    </row>
    <row r="437" spans="1:15" x14ac:dyDescent="0.25">
      <c r="A437" s="2" t="s">
        <v>191</v>
      </c>
      <c r="B437" s="1" t="s">
        <v>130</v>
      </c>
      <c r="C437" s="1" t="s">
        <v>22</v>
      </c>
      <c r="D437" s="1" t="s">
        <v>192</v>
      </c>
      <c r="E437" s="1" t="str">
        <f>VLOOKUP(Table1[[#This Row],[Navn DK]],product_nodes_new_id!A:C,3,FALSE)</f>
        <v>322ea0b1-828a-46fe-b6f5-d7b3d4f7c506</v>
      </c>
      <c r="F437" s="1">
        <v>3.1570000000000005</v>
      </c>
      <c r="G437" s="1">
        <v>14.52</v>
      </c>
      <c r="H437" s="1">
        <v>4.8070000000000009E-2</v>
      </c>
      <c r="I437" s="1">
        <v>-0.76049999999999995</v>
      </c>
      <c r="J437" s="1">
        <v>1</v>
      </c>
      <c r="K437" s="1" t="s">
        <v>24</v>
      </c>
      <c r="L437" s="1">
        <v>5.05</v>
      </c>
      <c r="M437" s="1" t="s">
        <v>25</v>
      </c>
      <c r="N437" s="3" t="s">
        <v>133</v>
      </c>
      <c r="O437" s="1"/>
    </row>
    <row r="438" spans="1:15" x14ac:dyDescent="0.25">
      <c r="A438" s="2" t="s">
        <v>211</v>
      </c>
      <c r="B438" s="1" t="s">
        <v>130</v>
      </c>
      <c r="C438" s="1" t="s">
        <v>22</v>
      </c>
      <c r="D438" s="1" t="s">
        <v>212</v>
      </c>
      <c r="E438" s="1" t="str">
        <f>VLOOKUP(Table1[[#This Row],[Navn DK]],product_nodes_new_id!A:C,3,FALSE)</f>
        <v>71ffa79f-8454-4ca5-b7c4-03395685a043</v>
      </c>
      <c r="F438" s="1">
        <v>5.6870000000000003</v>
      </c>
      <c r="G438" s="1">
        <v>26.510000000000005</v>
      </c>
      <c r="H438" s="1">
        <v>1.1000000000000001E-2</v>
      </c>
      <c r="I438" s="1">
        <v>-8.270999999999999</v>
      </c>
      <c r="J438" s="1">
        <v>1</v>
      </c>
      <c r="K438" s="1" t="s">
        <v>24</v>
      </c>
      <c r="L438" s="1">
        <v>12.764285714285712</v>
      </c>
      <c r="M438" s="1" t="s">
        <v>25</v>
      </c>
      <c r="N438" s="3" t="s">
        <v>133</v>
      </c>
      <c r="O438" s="1"/>
    </row>
    <row r="439" spans="1:15" x14ac:dyDescent="0.25">
      <c r="A439" s="2" t="s">
        <v>189</v>
      </c>
      <c r="B439" s="1" t="s">
        <v>130</v>
      </c>
      <c r="C439" s="1" t="s">
        <v>22</v>
      </c>
      <c r="D439" s="1" t="s">
        <v>190</v>
      </c>
      <c r="E439" s="1" t="str">
        <f>VLOOKUP(Table1[[#This Row],[Navn DK]],product_nodes_new_id!A:C,3,FALSE)</f>
        <v>a281b4f6-72f9-4cf6-8172-a1c789641fa9</v>
      </c>
      <c r="F439" s="1">
        <v>2.4200000000000004</v>
      </c>
      <c r="G439" s="1">
        <v>8.0190000000000001</v>
      </c>
      <c r="H439" s="1">
        <v>3.5090000000000003E-2</v>
      </c>
      <c r="I439" s="1">
        <v>-0.47250000000000003</v>
      </c>
      <c r="J439" s="1">
        <v>1</v>
      </c>
      <c r="K439" s="1" t="s">
        <v>24</v>
      </c>
      <c r="L439" s="1">
        <v>3.8</v>
      </c>
      <c r="M439" s="1" t="s">
        <v>25</v>
      </c>
      <c r="N439" s="3" t="s">
        <v>133</v>
      </c>
      <c r="O439" s="1"/>
    </row>
    <row r="440" spans="1:15" x14ac:dyDescent="0.25">
      <c r="A440" s="2" t="s">
        <v>157</v>
      </c>
      <c r="B440" s="1" t="s">
        <v>130</v>
      </c>
      <c r="C440" s="1" t="s">
        <v>22</v>
      </c>
      <c r="D440" s="1" t="s">
        <v>158</v>
      </c>
      <c r="E440" s="1" t="str">
        <f>VLOOKUP(Table1[[#This Row],[Navn DK]],product_nodes_new_id!A:C,3,FALSE)</f>
        <v>75a03cd1-0bc0-4a74-bf2c-76b58a506b42</v>
      </c>
      <c r="F440" s="1">
        <v>7.0766666666666671</v>
      </c>
      <c r="G440" s="1">
        <v>0</v>
      </c>
      <c r="H440" s="1">
        <v>-5.6100000000000002E-5</v>
      </c>
      <c r="I440" s="1">
        <v>-0.70199999999999996</v>
      </c>
      <c r="J440" s="1">
        <v>1</v>
      </c>
      <c r="K440" s="1" t="s">
        <v>159</v>
      </c>
      <c r="L440" s="1">
        <v>2.2400000000000002</v>
      </c>
      <c r="M440" s="1" t="s">
        <v>160</v>
      </c>
      <c r="N440" s="3" t="s">
        <v>133</v>
      </c>
      <c r="O440" s="1"/>
    </row>
    <row r="441" spans="1:15" x14ac:dyDescent="0.25">
      <c r="A441" s="2" t="s">
        <v>221</v>
      </c>
      <c r="B441" s="1" t="s">
        <v>130</v>
      </c>
      <c r="C441" s="1" t="s">
        <v>22</v>
      </c>
      <c r="D441" s="1" t="s">
        <v>222</v>
      </c>
      <c r="E441" s="1" t="str">
        <f>VLOOKUP(Table1[[#This Row],[Navn DK]],product_nodes_new_id!A:C,3,FALSE)</f>
        <v>016c6095-8e2c-4f88-81f6-b5a54425ffbe</v>
      </c>
      <c r="F441" s="1">
        <v>10.032</v>
      </c>
      <c r="G441" s="1">
        <v>0.1353</v>
      </c>
      <c r="H441" s="1">
        <v>9.9989999999999996E-2</v>
      </c>
      <c r="I441" s="1">
        <v>-7.5689999999999993E-2</v>
      </c>
      <c r="J441" s="1">
        <v>1</v>
      </c>
      <c r="K441" s="1" t="s">
        <v>24</v>
      </c>
      <c r="L441" s="1">
        <v>39.1</v>
      </c>
      <c r="M441" s="1" t="s">
        <v>25</v>
      </c>
      <c r="N441" s="3" t="s">
        <v>133</v>
      </c>
      <c r="O441" s="1"/>
    </row>
    <row r="442" spans="1:15" x14ac:dyDescent="0.25">
      <c r="A442" s="2" t="s">
        <v>345</v>
      </c>
      <c r="B442" s="1" t="s">
        <v>130</v>
      </c>
      <c r="C442" s="1" t="s">
        <v>22</v>
      </c>
      <c r="D442" s="1" t="s">
        <v>346</v>
      </c>
      <c r="E442" s="1" t="str">
        <f>VLOOKUP(Table1[[#This Row],[Navn DK]],product_nodes_new_id!A:C,3,FALSE)</f>
        <v>817e7e87-b08d-4916-8e70-92d925a2b483</v>
      </c>
      <c r="F442" s="1">
        <v>487.3</v>
      </c>
      <c r="G442" s="1">
        <v>0.7843</v>
      </c>
      <c r="H442" s="1">
        <v>0.15509999999999999</v>
      </c>
      <c r="I442" s="1">
        <v>-3.9780000000000002</v>
      </c>
      <c r="J442" s="1">
        <v>1</v>
      </c>
      <c r="K442" s="1" t="s">
        <v>339</v>
      </c>
      <c r="L442" s="1">
        <v>52.5</v>
      </c>
      <c r="M442" s="1" t="s">
        <v>25</v>
      </c>
      <c r="N442" s="3" t="s">
        <v>133</v>
      </c>
      <c r="O442" s="1"/>
    </row>
    <row r="443" spans="1:15" x14ac:dyDescent="0.25">
      <c r="A443" s="2" t="s">
        <v>343</v>
      </c>
      <c r="B443" s="1" t="s">
        <v>130</v>
      </c>
      <c r="C443" s="1" t="s">
        <v>22</v>
      </c>
      <c r="D443" s="1" t="s">
        <v>344</v>
      </c>
      <c r="E443" s="1" t="str">
        <f>VLOOKUP(Table1[[#This Row],[Navn DK]],product_nodes_new_id!A:C,3,FALSE)</f>
        <v>c00792cb-23ae-4185-af9e-4082fd62f419</v>
      </c>
      <c r="F443" s="1">
        <v>515.90000000000009</v>
      </c>
      <c r="G443" s="1">
        <v>0.7843</v>
      </c>
      <c r="H443" s="1">
        <v>0.15509999999999999</v>
      </c>
      <c r="I443" s="1">
        <v>-3.9780000000000002</v>
      </c>
      <c r="J443" s="1">
        <v>1</v>
      </c>
      <c r="K443" s="1" t="s">
        <v>339</v>
      </c>
      <c r="L443" s="1">
        <v>52.5</v>
      </c>
      <c r="M443" s="1" t="s">
        <v>25</v>
      </c>
      <c r="N443" s="3" t="s">
        <v>133</v>
      </c>
      <c r="O443" s="1"/>
    </row>
    <row r="444" spans="1:15" x14ac:dyDescent="0.25">
      <c r="A444" s="2" t="s">
        <v>341</v>
      </c>
      <c r="B444" s="1" t="s">
        <v>130</v>
      </c>
      <c r="C444" s="1" t="s">
        <v>22</v>
      </c>
      <c r="D444" s="1" t="s">
        <v>342</v>
      </c>
      <c r="E444" s="1" t="str">
        <f>VLOOKUP(Table1[[#This Row],[Navn DK]],product_nodes_new_id!A:C,3,FALSE)</f>
        <v>3faf828e-72ab-4770-b530-f510ea1fff3e</v>
      </c>
      <c r="F444" s="1">
        <v>309.10000000000002</v>
      </c>
      <c r="G444" s="1">
        <v>0.7843</v>
      </c>
      <c r="H444" s="1">
        <v>0.15509999999999999</v>
      </c>
      <c r="I444" s="1">
        <v>-3.9780000000000002</v>
      </c>
      <c r="J444" s="1">
        <v>1</v>
      </c>
      <c r="K444" s="1" t="s">
        <v>339</v>
      </c>
      <c r="L444" s="1">
        <v>52.5</v>
      </c>
      <c r="M444" s="1" t="s">
        <v>25</v>
      </c>
      <c r="N444" s="3" t="s">
        <v>133</v>
      </c>
      <c r="O444" s="1"/>
    </row>
    <row r="445" spans="1:15" x14ac:dyDescent="0.25">
      <c r="A445" s="2" t="s">
        <v>586</v>
      </c>
      <c r="B445" s="1" t="s">
        <v>394</v>
      </c>
      <c r="C445" s="1" t="s">
        <v>587</v>
      </c>
      <c r="D445" s="1" t="s">
        <v>588</v>
      </c>
      <c r="E445" s="1" t="str">
        <f>VLOOKUP(Table1[[#This Row],[Navn DK]],product_nodes_new_id!A:C,3,FALSE)</f>
        <v>8a6bac41-11c2-449f-bc9e-a3e92b74f539</v>
      </c>
      <c r="F445" s="1">
        <v>20.0832228945251</v>
      </c>
      <c r="G445" s="1">
        <v>0.36429687477214501</v>
      </c>
      <c r="H445" s="1">
        <v>0</v>
      </c>
      <c r="I445" s="1">
        <v>-0.106092317164395</v>
      </c>
      <c r="J445" s="1">
        <v>1</v>
      </c>
      <c r="K445" s="1" t="s">
        <v>17</v>
      </c>
      <c r="L445" s="1">
        <v>2200</v>
      </c>
      <c r="M445" s="1" t="s">
        <v>69</v>
      </c>
      <c r="N445" s="3" t="s">
        <v>1582</v>
      </c>
      <c r="O445" s="1"/>
    </row>
    <row r="446" spans="1:15" x14ac:dyDescent="0.25">
      <c r="A446" s="2" t="s">
        <v>369</v>
      </c>
      <c r="B446" s="1" t="s">
        <v>130</v>
      </c>
      <c r="C446" s="1" t="s">
        <v>22</v>
      </c>
      <c r="D446" s="1" t="s">
        <v>370</v>
      </c>
      <c r="E446" s="1" t="str">
        <f>VLOOKUP(Table1[[#This Row],[Navn DK]],product_nodes_new_id!A:C,3,FALSE)</f>
        <v>a6e361d2-2b52-409a-a777-86057b05aebe</v>
      </c>
      <c r="F446" s="1">
        <v>521.125</v>
      </c>
      <c r="G446" s="1">
        <v>3.4320000000000004</v>
      </c>
      <c r="H446" s="1">
        <v>0.1716</v>
      </c>
      <c r="I446" s="1">
        <v>-2.6190000000000002</v>
      </c>
      <c r="J446" s="1">
        <v>1</v>
      </c>
      <c r="K446" s="1" t="s">
        <v>339</v>
      </c>
      <c r="L446" s="1">
        <v>1825</v>
      </c>
      <c r="M446" s="1" t="s">
        <v>69</v>
      </c>
      <c r="N446" s="3" t="s">
        <v>133</v>
      </c>
      <c r="O446" s="1"/>
    </row>
    <row r="447" spans="1:15" x14ac:dyDescent="0.25">
      <c r="A447" s="2" t="s">
        <v>363</v>
      </c>
      <c r="B447" s="1" t="s">
        <v>130</v>
      </c>
      <c r="C447" s="1" t="s">
        <v>22</v>
      </c>
      <c r="D447" s="1" t="s">
        <v>364</v>
      </c>
      <c r="E447" s="1" t="str">
        <f>VLOOKUP(Table1[[#This Row],[Navn DK]],product_nodes_new_id!A:C,3,FALSE)</f>
        <v>83311da2-4192-4948-9d5e-ae5b64180f60</v>
      </c>
      <c r="F447" s="1">
        <v>265.375</v>
      </c>
      <c r="G447" s="1">
        <v>3.4320000000000004</v>
      </c>
      <c r="H447" s="1">
        <v>0.1716</v>
      </c>
      <c r="I447" s="1">
        <v>-2.3760000000000003</v>
      </c>
      <c r="J447" s="1">
        <v>1</v>
      </c>
      <c r="K447" s="1" t="s">
        <v>339</v>
      </c>
      <c r="L447" s="1">
        <v>1800</v>
      </c>
      <c r="M447" s="1" t="s">
        <v>69</v>
      </c>
      <c r="N447" s="3" t="s">
        <v>133</v>
      </c>
      <c r="O447" s="1"/>
    </row>
    <row r="448" spans="1:15" x14ac:dyDescent="0.25">
      <c r="A448" s="2" t="s">
        <v>361</v>
      </c>
      <c r="B448" s="1" t="s">
        <v>130</v>
      </c>
      <c r="C448" s="1" t="s">
        <v>22</v>
      </c>
      <c r="D448" s="1" t="s">
        <v>362</v>
      </c>
      <c r="E448" s="1" t="str">
        <f>VLOOKUP(Table1[[#This Row],[Navn DK]],product_nodes_new_id!A:C,3,FALSE)</f>
        <v>5510b5de-e81b-49de-a830-d5a405635ea4</v>
      </c>
      <c r="F448" s="1">
        <v>217.52500000000001</v>
      </c>
      <c r="G448" s="1">
        <v>3.4320000000000004</v>
      </c>
      <c r="H448" s="1">
        <v>0.1716</v>
      </c>
      <c r="I448" s="1">
        <v>-2.3760000000000003</v>
      </c>
      <c r="J448" s="1">
        <v>1</v>
      </c>
      <c r="K448" s="1" t="s">
        <v>339</v>
      </c>
      <c r="L448" s="1">
        <v>1800</v>
      </c>
      <c r="M448" s="1" t="s">
        <v>69</v>
      </c>
      <c r="N448" s="3" t="s">
        <v>133</v>
      </c>
      <c r="O448" s="1"/>
    </row>
    <row r="449" spans="1:15" x14ac:dyDescent="0.25">
      <c r="A449" s="2" t="s">
        <v>463</v>
      </c>
      <c r="B449" s="1" t="s">
        <v>394</v>
      </c>
      <c r="C449" s="1" t="s">
        <v>464</v>
      </c>
      <c r="D449" s="1" t="s">
        <v>465</v>
      </c>
      <c r="E449" s="1" t="str">
        <f>VLOOKUP(Table1[[#This Row],[Navn DK]],product_nodes_new_id!A:C,3,FALSE)</f>
        <v>604766eb-20d9-4c45-92a6-0235a18f2a3c</v>
      </c>
      <c r="F449" s="1">
        <v>7.5934312281955902</v>
      </c>
      <c r="G449" s="1">
        <v>0</v>
      </c>
      <c r="H449" s="1">
        <v>0</v>
      </c>
      <c r="I449" s="1">
        <v>-6.2924908582830499</v>
      </c>
      <c r="J449" s="1">
        <v>1</v>
      </c>
      <c r="K449" s="1" t="s">
        <v>17</v>
      </c>
      <c r="L449" s="1">
        <v>1</v>
      </c>
      <c r="M449" s="1" t="s">
        <v>18</v>
      </c>
      <c r="N449" s="3" t="s">
        <v>1553</v>
      </c>
      <c r="O449" s="1"/>
    </row>
    <row r="450" spans="1:15" x14ac:dyDescent="0.25">
      <c r="A450" s="2" t="s">
        <v>621</v>
      </c>
      <c r="B450" s="1" t="s">
        <v>394</v>
      </c>
      <c r="C450" s="1" t="s">
        <v>622</v>
      </c>
      <c r="D450" s="1" t="s">
        <v>623</v>
      </c>
      <c r="E450" s="1" t="str">
        <f>VLOOKUP(Table1[[#This Row],[Navn DK]],product_nodes_new_id!A:C,3,FALSE)</f>
        <v>c341f70a-f9ed-4dd6-832b-daaa35d42ffc</v>
      </c>
      <c r="F450" s="1">
        <v>5.6698262225121701</v>
      </c>
      <c r="G450" s="1">
        <v>0</v>
      </c>
      <c r="H450" s="1">
        <v>0</v>
      </c>
      <c r="I450" s="1">
        <v>-4.6957504721712597</v>
      </c>
      <c r="J450" s="1">
        <v>1</v>
      </c>
      <c r="K450" s="1" t="s">
        <v>17</v>
      </c>
      <c r="L450" s="1">
        <v>1</v>
      </c>
      <c r="M450" s="1" t="s">
        <v>18</v>
      </c>
      <c r="N450" s="3" t="s">
        <v>1589</v>
      </c>
      <c r="O450" s="1"/>
    </row>
    <row r="451" spans="1:15" x14ac:dyDescent="0.25">
      <c r="A451" s="2" t="s">
        <v>1155</v>
      </c>
      <c r="B451" s="1" t="s">
        <v>394</v>
      </c>
      <c r="C451" s="1" t="s">
        <v>1156</v>
      </c>
      <c r="D451" s="1" t="s">
        <v>1157</v>
      </c>
      <c r="E451" s="1" t="str">
        <f>VLOOKUP(Table1[[#This Row],[Navn DK]],product_nodes_new_id!A:C,3,FALSE)</f>
        <v>ee82e32d-d532-453f-9c16-d46400b144b2</v>
      </c>
      <c r="F451" s="1">
        <v>-840.67434774569597</v>
      </c>
      <c r="G451" s="1">
        <v>1042.2931223923599</v>
      </c>
      <c r="H451" s="1">
        <v>0</v>
      </c>
      <c r="I451" s="1">
        <v>-319.17408375238398</v>
      </c>
      <c r="J451" s="1">
        <v>1</v>
      </c>
      <c r="K451" s="1" t="s">
        <v>68</v>
      </c>
      <c r="L451" s="1">
        <v>571</v>
      </c>
      <c r="M451" s="1" t="s">
        <v>69</v>
      </c>
      <c r="N451" s="3" t="s">
        <v>1158</v>
      </c>
      <c r="O451" s="1"/>
    </row>
    <row r="452" spans="1:15" x14ac:dyDescent="0.25">
      <c r="A452" s="2" t="s">
        <v>1163</v>
      </c>
      <c r="B452" s="1" t="s">
        <v>394</v>
      </c>
      <c r="C452" s="1" t="s">
        <v>1164</v>
      </c>
      <c r="D452" s="1" t="s">
        <v>1165</v>
      </c>
      <c r="E452" s="1" t="str">
        <f>VLOOKUP(Table1[[#This Row],[Navn DK]],product_nodes_new_id!A:C,3,FALSE)</f>
        <v>03ef2aa5-0868-4d7f-ad4d-6ae4eb2e66db</v>
      </c>
      <c r="F452" s="1">
        <v>-1008.75834622427</v>
      </c>
      <c r="G452" s="1">
        <v>1308.7988944926899</v>
      </c>
      <c r="H452" s="1">
        <v>0</v>
      </c>
      <c r="I452" s="1">
        <v>-400.78426979064699</v>
      </c>
      <c r="J452" s="1">
        <v>1</v>
      </c>
      <c r="K452" s="1" t="s">
        <v>68</v>
      </c>
      <c r="L452" s="1">
        <v>716.8</v>
      </c>
      <c r="M452" s="1" t="s">
        <v>69</v>
      </c>
      <c r="N452" s="3" t="s">
        <v>1166</v>
      </c>
      <c r="O452" s="1"/>
    </row>
    <row r="453" spans="1:15" x14ac:dyDescent="0.25">
      <c r="A453" s="2" t="s">
        <v>1148</v>
      </c>
      <c r="B453" s="1" t="s">
        <v>394</v>
      </c>
      <c r="C453" s="1" t="s">
        <v>1149</v>
      </c>
      <c r="D453" s="1" t="s">
        <v>1150</v>
      </c>
      <c r="E453" s="1" t="str">
        <f>VLOOKUP(Table1[[#This Row],[Navn DK]],product_nodes_new_id!A:C,3,FALSE)</f>
        <v>986b4ce7-d311-44cd-aaf2-b6aa849c4737</v>
      </c>
      <c r="F453" s="1">
        <v>-781.68800582733502</v>
      </c>
      <c r="G453" s="1">
        <v>1002.13471837725</v>
      </c>
      <c r="H453" s="1">
        <v>0</v>
      </c>
      <c r="I453" s="1">
        <v>-306.87665845894702</v>
      </c>
      <c r="J453" s="1">
        <v>1</v>
      </c>
      <c r="K453" s="1" t="s">
        <v>68</v>
      </c>
      <c r="L453" s="1">
        <v>548.79999999999995</v>
      </c>
      <c r="M453" s="1" t="s">
        <v>69</v>
      </c>
      <c r="N453" s="3" t="s">
        <v>1151</v>
      </c>
      <c r="O453" s="1"/>
    </row>
    <row r="454" spans="1:15" x14ac:dyDescent="0.25">
      <c r="A454" s="2" t="s">
        <v>1141</v>
      </c>
      <c r="B454" s="1" t="s">
        <v>394</v>
      </c>
      <c r="C454" s="1" t="s">
        <v>1142</v>
      </c>
      <c r="D454" s="1" t="s">
        <v>1143</v>
      </c>
      <c r="E454" s="1" t="str">
        <f>VLOOKUP(Table1[[#This Row],[Navn DK]],product_nodes_new_id!A:C,3,FALSE)</f>
        <v>74a2ee52-0de3-487d-afa7-d6fb28bfac18</v>
      </c>
      <c r="F454" s="1">
        <v>-693.20131068643695</v>
      </c>
      <c r="G454" s="1">
        <v>879.83412433120702</v>
      </c>
      <c r="H454" s="1">
        <v>0</v>
      </c>
      <c r="I454" s="1">
        <v>-269.42540870166198</v>
      </c>
      <c r="J454" s="1">
        <v>1</v>
      </c>
      <c r="K454" s="1" t="s">
        <v>68</v>
      </c>
      <c r="L454" s="1">
        <v>481.6</v>
      </c>
      <c r="M454" s="1" t="s">
        <v>69</v>
      </c>
      <c r="N454" s="3" t="s">
        <v>1144</v>
      </c>
      <c r="O454" s="1"/>
    </row>
    <row r="455" spans="1:15" x14ac:dyDescent="0.25">
      <c r="A455" s="2" t="s">
        <v>1159</v>
      </c>
      <c r="B455" s="1" t="s">
        <v>394</v>
      </c>
      <c r="C455" s="1" t="s">
        <v>1160</v>
      </c>
      <c r="D455" s="1" t="s">
        <v>1161</v>
      </c>
      <c r="E455" s="1" t="str">
        <f>VLOOKUP(Table1[[#This Row],[Navn DK]],product_nodes_new_id!A:C,3,FALSE)</f>
        <v>a4a6f089-e124-47a1-a3ef-592fad6672c2</v>
      </c>
      <c r="F455" s="1">
        <v>-902.763660690763</v>
      </c>
      <c r="G455" s="1">
        <v>1206.5775024542099</v>
      </c>
      <c r="H455" s="1">
        <v>0</v>
      </c>
      <c r="I455" s="1">
        <v>-369.48173268007997</v>
      </c>
      <c r="J455" s="1">
        <v>1</v>
      </c>
      <c r="K455" s="1" t="s">
        <v>68</v>
      </c>
      <c r="L455" s="1">
        <v>660.8</v>
      </c>
      <c r="M455" s="1" t="s">
        <v>69</v>
      </c>
      <c r="N455" s="3" t="s">
        <v>1162</v>
      </c>
      <c r="O455" s="1"/>
    </row>
    <row r="456" spans="1:15" x14ac:dyDescent="0.25">
      <c r="A456" s="2" t="s">
        <v>1692</v>
      </c>
      <c r="B456" s="1" t="s">
        <v>130</v>
      </c>
      <c r="C456" s="1" t="s">
        <v>22</v>
      </c>
      <c r="D456" s="1" t="s">
        <v>29</v>
      </c>
      <c r="E456" s="1" t="str">
        <f>VLOOKUP(Table1[[#This Row],[Navn DK]],product_nodes_new_id!A:C,3,FALSE)</f>
        <v>8dd57442-c5c2-4925-ae27-94d90313d36f</v>
      </c>
      <c r="F456" s="1">
        <v>90.585000000000022</v>
      </c>
      <c r="G456" s="1">
        <v>20.680000000000003</v>
      </c>
      <c r="H456" s="1">
        <v>1.1990000000000003</v>
      </c>
      <c r="I456" s="1">
        <v>-29.1</v>
      </c>
      <c r="J456" s="1">
        <v>1</v>
      </c>
      <c r="K456" s="1" t="s">
        <v>24</v>
      </c>
      <c r="L456" s="1">
        <v>36.4</v>
      </c>
      <c r="M456" s="1" t="s">
        <v>25</v>
      </c>
      <c r="N456" s="15" t="s">
        <v>30</v>
      </c>
      <c r="O456" s="1" t="s">
        <v>1705</v>
      </c>
    </row>
    <row r="457" spans="1:15" x14ac:dyDescent="0.25">
      <c r="A457" s="2" t="s">
        <v>1167</v>
      </c>
      <c r="B457" s="1" t="s">
        <v>394</v>
      </c>
      <c r="C457" s="1" t="s">
        <v>1168</v>
      </c>
      <c r="D457" s="1" t="s">
        <v>1169</v>
      </c>
      <c r="E457" s="1" t="str">
        <f>VLOOKUP(Table1[[#This Row],[Navn DK]],product_nodes_new_id!A:C,3,FALSE)</f>
        <v>76a4c343-5507-440b-9740-99581854a61e</v>
      </c>
      <c r="F457" s="1">
        <v>-1031.94850453001</v>
      </c>
      <c r="G457" s="1">
        <v>1348.95729850781</v>
      </c>
      <c r="H457" s="1">
        <v>0</v>
      </c>
      <c r="I457" s="1">
        <v>-413.081695084084</v>
      </c>
      <c r="J457" s="1">
        <v>1</v>
      </c>
      <c r="K457" s="1" t="s">
        <v>68</v>
      </c>
      <c r="L457" s="1">
        <v>739.2</v>
      </c>
      <c r="M457" s="1" t="s">
        <v>69</v>
      </c>
      <c r="N457" s="3" t="s">
        <v>1170</v>
      </c>
      <c r="O457" s="1"/>
    </row>
    <row r="458" spans="1:15" x14ac:dyDescent="0.25">
      <c r="A458" s="2" t="s">
        <v>280</v>
      </c>
      <c r="B458" s="1" t="s">
        <v>130</v>
      </c>
      <c r="C458" s="1" t="s">
        <v>22</v>
      </c>
      <c r="D458" s="1" t="s">
        <v>281</v>
      </c>
      <c r="E458" s="1" t="str">
        <f>VLOOKUP(Table1[[#This Row],[Navn DK]],product_nodes_new_id!A:C,3,FALSE)</f>
        <v>9b949ee8-bb5d-4d46-87d2-3d4f8561b288</v>
      </c>
      <c r="F458" s="1">
        <v>-1.026</v>
      </c>
      <c r="G458" s="1">
        <v>2.4411200000000002</v>
      </c>
      <c r="H458" s="1">
        <v>3.7179999999999998E-4</v>
      </c>
      <c r="I458" s="1">
        <v>-0.12689999999999999</v>
      </c>
      <c r="J458" s="1">
        <v>1</v>
      </c>
      <c r="K458" s="1" t="s">
        <v>248</v>
      </c>
      <c r="L458" s="1">
        <v>36.75</v>
      </c>
      <c r="M458" s="1" t="s">
        <v>69</v>
      </c>
      <c r="N458" s="3" t="s">
        <v>133</v>
      </c>
      <c r="O458" s="1"/>
    </row>
    <row r="459" spans="1:15" x14ac:dyDescent="0.25">
      <c r="A459" s="2" t="s">
        <v>289</v>
      </c>
      <c r="B459" s="1" t="s">
        <v>130</v>
      </c>
      <c r="C459" s="1" t="s">
        <v>22</v>
      </c>
      <c r="D459" s="1" t="s">
        <v>290</v>
      </c>
      <c r="E459" s="1" t="str">
        <f>VLOOKUP(Table1[[#This Row],[Navn DK]],product_nodes_new_id!A:C,3,FALSE)</f>
        <v>9b5310f8-c1e6-47d9-92bf-bc0fe9e5a0b2</v>
      </c>
      <c r="F459" s="1">
        <v>-2.1419999999999999</v>
      </c>
      <c r="G459" s="1">
        <v>3.2230000000000003</v>
      </c>
      <c r="H459" s="1">
        <v>2.7389999999999999E-4</v>
      </c>
      <c r="I459" s="1">
        <v>-0.18180000000000002</v>
      </c>
      <c r="J459" s="1">
        <v>1</v>
      </c>
      <c r="K459" s="1" t="s">
        <v>248</v>
      </c>
      <c r="L459" s="1">
        <v>50</v>
      </c>
      <c r="M459" s="1" t="s">
        <v>69</v>
      </c>
      <c r="N459" s="3" t="s">
        <v>133</v>
      </c>
      <c r="O459" s="1"/>
    </row>
    <row r="460" spans="1:15" x14ac:dyDescent="0.25">
      <c r="A460" s="2" t="s">
        <v>328</v>
      </c>
      <c r="B460" s="1" t="s">
        <v>130</v>
      </c>
      <c r="C460" s="1" t="s">
        <v>22</v>
      </c>
      <c r="D460" s="1" t="s">
        <v>329</v>
      </c>
      <c r="E460" s="1" t="str">
        <f>VLOOKUP(Table1[[#This Row],[Navn DK]],product_nodes_new_id!A:C,3,FALSE)</f>
        <v>5ca952ec-48a4-420a-b7cb-e371297bab07</v>
      </c>
      <c r="F460" s="1">
        <v>-166.5</v>
      </c>
      <c r="G460" s="1">
        <v>0</v>
      </c>
      <c r="H460" s="1">
        <v>244.20000000000002</v>
      </c>
      <c r="I460" s="1">
        <v>-94.5</v>
      </c>
      <c r="J460" s="1">
        <v>1</v>
      </c>
      <c r="K460" s="1" t="s">
        <v>68</v>
      </c>
      <c r="L460" s="1">
        <v>140</v>
      </c>
      <c r="M460" s="1" t="s">
        <v>69</v>
      </c>
      <c r="N460" s="3" t="s">
        <v>133</v>
      </c>
      <c r="O460" s="1"/>
    </row>
    <row r="461" spans="1:15" x14ac:dyDescent="0.25">
      <c r="A461" s="2" t="s">
        <v>1089</v>
      </c>
      <c r="B461" s="1" t="s">
        <v>394</v>
      </c>
      <c r="C461" s="1" t="s">
        <v>1090</v>
      </c>
      <c r="D461" s="1" t="s">
        <v>1091</v>
      </c>
      <c r="E461" s="1" t="str">
        <f>VLOOKUP(Table1[[#This Row],[Navn DK]],product_nodes_new_id!A:C,3,FALSE)</f>
        <v>9267b54f-1625-4f62-ba5f-713f32ae876a</v>
      </c>
      <c r="F461" s="1">
        <v>-170.406093339498</v>
      </c>
      <c r="G461" s="1">
        <v>300.66049954989001</v>
      </c>
      <c r="H461" s="1">
        <v>0</v>
      </c>
      <c r="I461" s="1">
        <v>-84.330750898483998</v>
      </c>
      <c r="J461" s="1">
        <v>1</v>
      </c>
      <c r="K461" s="1" t="s">
        <v>68</v>
      </c>
      <c r="L461" s="1">
        <v>160</v>
      </c>
      <c r="M461" s="1" t="s">
        <v>69</v>
      </c>
      <c r="N461" s="3" t="s">
        <v>1092</v>
      </c>
      <c r="O461" s="1"/>
    </row>
    <row r="462" spans="1:15" x14ac:dyDescent="0.25">
      <c r="A462" s="2" t="s">
        <v>1177</v>
      </c>
      <c r="B462" s="1" t="s">
        <v>394</v>
      </c>
      <c r="C462" s="1" t="s">
        <v>1178</v>
      </c>
      <c r="D462" s="1" t="s">
        <v>1179</v>
      </c>
      <c r="E462" s="1" t="str">
        <f>VLOOKUP(Table1[[#This Row],[Navn DK]],product_nodes_new_id!A:C,3,FALSE)</f>
        <v>37211034-4ebf-48f7-9cb9-f7384d2d7e80</v>
      </c>
      <c r="F462" s="1">
        <v>-887.3</v>
      </c>
      <c r="G462" s="1">
        <v>1237</v>
      </c>
      <c r="H462" s="1">
        <v>0</v>
      </c>
      <c r="I462" s="1">
        <v>-34.44</v>
      </c>
      <c r="J462" s="1">
        <v>1</v>
      </c>
      <c r="K462" s="1" t="s">
        <v>68</v>
      </c>
      <c r="L462" s="1">
        <v>849.92</v>
      </c>
      <c r="M462" s="1" t="s">
        <v>69</v>
      </c>
      <c r="N462" s="3" t="s">
        <v>1180</v>
      </c>
      <c r="O462" s="1"/>
    </row>
    <row r="463" spans="1:15" x14ac:dyDescent="0.25">
      <c r="A463" s="2" t="s">
        <v>1055</v>
      </c>
      <c r="B463" s="1" t="s">
        <v>394</v>
      </c>
      <c r="C463" s="1" t="s">
        <v>1056</v>
      </c>
      <c r="D463" s="1" t="s">
        <v>1057</v>
      </c>
      <c r="E463" s="1" t="str">
        <f>VLOOKUP(Table1[[#This Row],[Navn DK]],product_nodes_new_id!A:C,3,FALSE)</f>
        <v>d472eab0-16e2-4038-bb82-634a265f48ba</v>
      </c>
      <c r="F463" s="1">
        <v>-764.4</v>
      </c>
      <c r="G463" s="1">
        <v>1092</v>
      </c>
      <c r="H463" s="1">
        <v>0</v>
      </c>
      <c r="I463" s="1">
        <v>-13.44</v>
      </c>
      <c r="J463" s="1">
        <v>1</v>
      </c>
      <c r="K463" s="1" t="s">
        <v>68</v>
      </c>
      <c r="L463" s="1">
        <v>737.5</v>
      </c>
      <c r="M463" s="1" t="s">
        <v>69</v>
      </c>
      <c r="N463" s="3" t="s">
        <v>1058</v>
      </c>
      <c r="O463" s="1"/>
    </row>
    <row r="464" spans="1:15" x14ac:dyDescent="0.25">
      <c r="A464" s="2" t="s">
        <v>239</v>
      </c>
      <c r="B464" s="1" t="s">
        <v>130</v>
      </c>
      <c r="C464" s="1" t="s">
        <v>22</v>
      </c>
      <c r="D464" s="1" t="s">
        <v>240</v>
      </c>
      <c r="E464" s="1" t="str">
        <f>VLOOKUP(Table1[[#This Row],[Navn DK]],product_nodes_new_id!A:C,3,FALSE)</f>
        <v>1d00bb0b-743c-4861-8b11-2a7f7e9cb6b8</v>
      </c>
      <c r="F464" s="1">
        <v>-1.899</v>
      </c>
      <c r="G464" s="1">
        <v>16.72</v>
      </c>
      <c r="H464" s="1">
        <v>2.0900000000000003E-3</v>
      </c>
      <c r="I464" s="1">
        <v>-0.95400000000000007</v>
      </c>
      <c r="J464" s="1">
        <v>1</v>
      </c>
      <c r="K464" s="1" t="s">
        <v>24</v>
      </c>
      <c r="L464" s="1">
        <v>250</v>
      </c>
      <c r="M464" s="1" t="s">
        <v>69</v>
      </c>
      <c r="N464" s="3" t="s">
        <v>133</v>
      </c>
      <c r="O464" s="1"/>
    </row>
    <row r="465" spans="1:15" x14ac:dyDescent="0.25">
      <c r="A465" s="2" t="s">
        <v>149</v>
      </c>
      <c r="B465" s="1" t="s">
        <v>130</v>
      </c>
      <c r="C465" s="1" t="s">
        <v>22</v>
      </c>
      <c r="D465" s="1" t="s">
        <v>150</v>
      </c>
      <c r="E465" s="1" t="str">
        <f>VLOOKUP(Table1[[#This Row],[Navn DK]],product_nodes_new_id!A:C,3,FALSE)</f>
        <v>9b1b617c-d680-41d8-8acb-e0b282cf392d</v>
      </c>
      <c r="F465" s="1">
        <v>0.18700000000000003</v>
      </c>
      <c r="G465" s="1">
        <v>0.3322</v>
      </c>
      <c r="H465" s="1">
        <v>4.5430000000000004E-4</v>
      </c>
      <c r="I465" s="1">
        <v>-0.12330000000000001</v>
      </c>
      <c r="J465" s="1">
        <v>1</v>
      </c>
      <c r="K465" s="1" t="s">
        <v>17</v>
      </c>
      <c r="L465" s="1">
        <v>255</v>
      </c>
      <c r="M465" s="1" t="s">
        <v>69</v>
      </c>
      <c r="N465" s="3" t="s">
        <v>133</v>
      </c>
      <c r="O465" s="1"/>
    </row>
    <row r="466" spans="1:15" x14ac:dyDescent="0.25">
      <c r="A466" s="2" t="s">
        <v>246</v>
      </c>
      <c r="B466" s="1" t="s">
        <v>130</v>
      </c>
      <c r="C466" s="1" t="s">
        <v>22</v>
      </c>
      <c r="D466" s="1" t="s">
        <v>1710</v>
      </c>
      <c r="E466" s="1" t="str">
        <f>VLOOKUP(Table1[[#This Row],[Navn DK]],product_nodes_new_id!A:C,3,FALSE)</f>
        <v>18283941-bcf0-4e62-bff8-bb238bc36d6d</v>
      </c>
      <c r="F466" s="1">
        <v>-10.35</v>
      </c>
      <c r="G466" s="1">
        <v>33.44</v>
      </c>
      <c r="H466" s="1">
        <v>0</v>
      </c>
      <c r="I466" s="1">
        <v>-2.4750000000000001</v>
      </c>
      <c r="J466" s="1">
        <v>1</v>
      </c>
      <c r="K466" s="1" t="s">
        <v>24</v>
      </c>
      <c r="L466" s="1">
        <v>790</v>
      </c>
      <c r="M466" s="1" t="s">
        <v>69</v>
      </c>
      <c r="N466" s="3" t="s">
        <v>133</v>
      </c>
      <c r="O466" s="1"/>
    </row>
    <row r="467" spans="1:15" x14ac:dyDescent="0.25">
      <c r="A467" s="2" t="s">
        <v>1485</v>
      </c>
      <c r="B467" s="1" t="s">
        <v>394</v>
      </c>
      <c r="C467" s="1" t="s">
        <v>1486</v>
      </c>
      <c r="D467" s="1" t="s">
        <v>1487</v>
      </c>
      <c r="E467" s="1" t="str">
        <f>VLOOKUP(Table1[[#This Row],[Navn DK]],product_nodes_new_id!A:C,3,FALSE)</f>
        <v>fd1118fd-1dd5-4a62-9c61-94b1a6ccd78e</v>
      </c>
      <c r="F467" s="1">
        <v>-13.822701781063801</v>
      </c>
      <c r="G467" s="1">
        <v>21.0263659974813</v>
      </c>
      <c r="H467" s="1">
        <v>0</v>
      </c>
      <c r="I467" s="1">
        <v>-5.8974545391845199</v>
      </c>
      <c r="J467" s="1">
        <v>1</v>
      </c>
      <c r="K467" s="1" t="s">
        <v>24</v>
      </c>
      <c r="L467" s="1">
        <v>11.5</v>
      </c>
      <c r="M467" s="1" t="s">
        <v>25</v>
      </c>
      <c r="N467" s="3" t="s">
        <v>1488</v>
      </c>
      <c r="O467" s="1"/>
    </row>
    <row r="468" spans="1:15" x14ac:dyDescent="0.25">
      <c r="A468" s="2" t="s">
        <v>245</v>
      </c>
      <c r="B468" s="1" t="s">
        <v>130</v>
      </c>
      <c r="C468" s="1" t="s">
        <v>22</v>
      </c>
      <c r="D468" s="1" t="s">
        <v>1709</v>
      </c>
      <c r="E468" s="1" t="str">
        <f>VLOOKUP(Table1[[#This Row],[Navn DK]],product_nodes_new_id!A:C,3,FALSE)</f>
        <v>bd584fc5-7345-43c4-8747-0f0150515dde</v>
      </c>
      <c r="F468" s="1">
        <v>-7.5330000000000013</v>
      </c>
      <c r="G468" s="1">
        <v>18.150000000000002</v>
      </c>
      <c r="H468" s="1">
        <v>0</v>
      </c>
      <c r="I468" s="1">
        <v>-0.70469999999999999</v>
      </c>
      <c r="J468" s="1">
        <v>1</v>
      </c>
      <c r="K468" s="1" t="s">
        <v>24</v>
      </c>
      <c r="L468" s="1">
        <v>650</v>
      </c>
      <c r="M468" s="1" t="s">
        <v>69</v>
      </c>
      <c r="N468" s="20" t="s">
        <v>133</v>
      </c>
      <c r="O468" s="1"/>
    </row>
    <row r="469" spans="1:15" x14ac:dyDescent="0.25">
      <c r="A469" s="2" t="s">
        <v>1693</v>
      </c>
      <c r="B469" s="1" t="s">
        <v>130</v>
      </c>
      <c r="C469" s="1" t="s">
        <v>22</v>
      </c>
      <c r="D469" s="1" t="s">
        <v>23</v>
      </c>
      <c r="E469" s="1" t="str">
        <f>VLOOKUP(Table1[[#This Row],[Navn DK]],product_nodes_new_id!A:C,3,FALSE)</f>
        <v>1a088ae2-2f75-4aab-a4ba-c8b558346b2c</v>
      </c>
      <c r="F469" s="1">
        <v>51.667000000000002</v>
      </c>
      <c r="G469" s="1">
        <v>20.79</v>
      </c>
      <c r="H469" s="1">
        <v>1.4190000000000003</v>
      </c>
      <c r="I469" s="1">
        <v>-17.5</v>
      </c>
      <c r="J469" s="1">
        <v>1</v>
      </c>
      <c r="K469" s="1" t="s">
        <v>24</v>
      </c>
      <c r="L469" s="1">
        <v>34.200000000000003</v>
      </c>
      <c r="M469" s="1" t="s">
        <v>25</v>
      </c>
      <c r="N469" s="15" t="s">
        <v>26</v>
      </c>
      <c r="O469" s="1" t="s">
        <v>1705</v>
      </c>
    </row>
    <row r="470" spans="1:15" x14ac:dyDescent="0.25">
      <c r="A470" s="2" t="s">
        <v>44</v>
      </c>
      <c r="B470" s="1" t="s">
        <v>14</v>
      </c>
      <c r="C470" s="1" t="s">
        <v>22</v>
      </c>
      <c r="D470" s="1" t="s">
        <v>45</v>
      </c>
      <c r="E470" s="1" t="str">
        <f>VLOOKUP(Table1[[#This Row],[Navn DK]],product_nodes_new_id!A:C,3,FALSE)</f>
        <v>81aa4cc3-b73c-49a9-97f0-15e16d169d20</v>
      </c>
      <c r="F470" s="1">
        <v>56.3</v>
      </c>
      <c r="G470" s="1">
        <v>1</v>
      </c>
      <c r="H470" s="1">
        <v>0.73399999999999999</v>
      </c>
      <c r="I470" s="1">
        <v>-0.69499999999999995</v>
      </c>
      <c r="J470" s="1">
        <v>1</v>
      </c>
      <c r="K470" s="1" t="s">
        <v>24</v>
      </c>
      <c r="L470" s="1">
        <v>332.7</v>
      </c>
      <c r="M470" s="1" t="s">
        <v>25</v>
      </c>
      <c r="N470" s="3" t="s">
        <v>40</v>
      </c>
      <c r="O470" s="1"/>
    </row>
    <row r="471" spans="1:15" x14ac:dyDescent="0.25">
      <c r="A471" s="2" t="s">
        <v>46</v>
      </c>
      <c r="B471" s="1" t="s">
        <v>14</v>
      </c>
      <c r="C471" s="1" t="s">
        <v>22</v>
      </c>
      <c r="D471" s="1" t="s">
        <v>47</v>
      </c>
      <c r="E471" s="1" t="str">
        <f>VLOOKUP(Table1[[#This Row],[Navn DK]],product_nodes_new_id!A:C,3,FALSE)</f>
        <v>1d297956-8293-49f2-8ef8-d55158ba44e5</v>
      </c>
      <c r="F471" s="1">
        <v>57.7</v>
      </c>
      <c r="G471" s="1">
        <v>1.01</v>
      </c>
      <c r="H471" s="1">
        <v>0.73399999999999999</v>
      </c>
      <c r="I471" s="1">
        <v>-0.71099999999999997</v>
      </c>
      <c r="J471" s="1">
        <v>1</v>
      </c>
      <c r="K471" s="1" t="s">
        <v>24</v>
      </c>
      <c r="L471" s="1">
        <v>335.1</v>
      </c>
      <c r="M471" s="1" t="s">
        <v>25</v>
      </c>
      <c r="N471" s="3" t="s">
        <v>40</v>
      </c>
      <c r="O471" s="1"/>
    </row>
    <row r="472" spans="1:15" x14ac:dyDescent="0.25">
      <c r="A472" s="2" t="s">
        <v>38</v>
      </c>
      <c r="B472" s="1" t="s">
        <v>14</v>
      </c>
      <c r="C472" s="1" t="s">
        <v>22</v>
      </c>
      <c r="D472" s="1" t="s">
        <v>39</v>
      </c>
      <c r="E472" s="1" t="str">
        <f>VLOOKUP(Table1[[#This Row],[Navn DK]],product_nodes_new_id!A:C,3,FALSE)</f>
        <v>225fb00c-5257-44c6-bf48-8ff8155facc9</v>
      </c>
      <c r="F472" s="1">
        <v>55.3</v>
      </c>
      <c r="G472" s="1">
        <v>0.90800000000000003</v>
      </c>
      <c r="H472" s="1">
        <v>0.65800000000000003</v>
      </c>
      <c r="I472" s="1">
        <v>-0.61299999999999999</v>
      </c>
      <c r="J472" s="1">
        <v>1</v>
      </c>
      <c r="K472" s="1" t="s">
        <v>24</v>
      </c>
      <c r="L472" s="1">
        <v>302</v>
      </c>
      <c r="M472" s="1" t="s">
        <v>25</v>
      </c>
      <c r="N472" s="3" t="s">
        <v>40</v>
      </c>
      <c r="O472" s="1"/>
    </row>
    <row r="473" spans="1:15" x14ac:dyDescent="0.25">
      <c r="A473" s="2" t="s">
        <v>820</v>
      </c>
      <c r="B473" s="1" t="s">
        <v>394</v>
      </c>
      <c r="C473" s="1" t="s">
        <v>821</v>
      </c>
      <c r="D473" s="1" t="s">
        <v>822</v>
      </c>
      <c r="E473" s="1" t="str">
        <f>VLOOKUP(Table1[[#This Row],[Navn DK]],product_nodes_new_id!A:C,3,FALSE)</f>
        <v>51f9cf9f-2e3c-4916-a480-fcea2a90e6af</v>
      </c>
      <c r="F473" s="1">
        <v>5.0819999999999999</v>
      </c>
      <c r="G473" s="1">
        <v>4.782</v>
      </c>
      <c r="H473" s="1">
        <v>0.30480000000000002</v>
      </c>
      <c r="I473" s="1">
        <v>-0.36680000000000001</v>
      </c>
      <c r="J473" s="1">
        <v>1</v>
      </c>
      <c r="K473" s="1" t="s">
        <v>24</v>
      </c>
      <c r="L473" s="1">
        <v>4.3449999999999998</v>
      </c>
      <c r="M473" s="1" t="s">
        <v>25</v>
      </c>
      <c r="N473" s="3" t="s">
        <v>823</v>
      </c>
      <c r="O473" s="1"/>
    </row>
    <row r="474" spans="1:15" x14ac:dyDescent="0.25">
      <c r="A474" s="2" t="s">
        <v>837</v>
      </c>
      <c r="B474" s="1" t="s">
        <v>394</v>
      </c>
      <c r="C474" s="1" t="s">
        <v>838</v>
      </c>
      <c r="D474" s="1" t="s">
        <v>839</v>
      </c>
      <c r="E474" s="1" t="str">
        <f>VLOOKUP(Table1[[#This Row],[Navn DK]],product_nodes_new_id!A:C,3,FALSE)</f>
        <v>7e9edc8b-5a7f-4a7d-b9cf-f090cc40f288</v>
      </c>
      <c r="F474" s="1">
        <v>0.41334834203938497</v>
      </c>
      <c r="G474" s="1">
        <v>0.315224780174645</v>
      </c>
      <c r="H474" s="1">
        <v>0</v>
      </c>
      <c r="I474" s="1">
        <v>-0.109532564870536</v>
      </c>
      <c r="J474" s="1">
        <v>1</v>
      </c>
      <c r="K474" s="1" t="s">
        <v>24</v>
      </c>
      <c r="L474" s="1">
        <v>0.14000000000000001</v>
      </c>
      <c r="M474" s="1" t="s">
        <v>25</v>
      </c>
      <c r="N474" s="3" t="s">
        <v>840</v>
      </c>
      <c r="O474" s="1"/>
    </row>
    <row r="475" spans="1:15" x14ac:dyDescent="0.25">
      <c r="A475" s="2" t="s">
        <v>181</v>
      </c>
      <c r="B475" s="1" t="s">
        <v>130</v>
      </c>
      <c r="C475" s="1" t="s">
        <v>22</v>
      </c>
      <c r="D475" s="1" t="s">
        <v>182</v>
      </c>
      <c r="E475" s="1" t="str">
        <f>VLOOKUP(Table1[[#This Row],[Navn DK]],product_nodes_new_id!A:C,3,FALSE)</f>
        <v>22f7f9e0-5959-4b4f-93e4-1b1874f3bff8</v>
      </c>
      <c r="F475" s="1">
        <v>0.89100000000000013</v>
      </c>
      <c r="G475" s="1">
        <v>0.82610000000000006</v>
      </c>
      <c r="H475" s="1">
        <v>0</v>
      </c>
      <c r="I475" s="1">
        <v>-0.30870000000000003</v>
      </c>
      <c r="J475" s="1">
        <v>1</v>
      </c>
      <c r="K475" s="1" t="s">
        <v>24</v>
      </c>
      <c r="L475" s="1">
        <v>0.25424999999999998</v>
      </c>
      <c r="M475" s="1" t="s">
        <v>25</v>
      </c>
      <c r="N475" s="3" t="s">
        <v>133</v>
      </c>
      <c r="O475" s="1"/>
    </row>
    <row r="476" spans="1:15" x14ac:dyDescent="0.25">
      <c r="A476" s="2" t="s">
        <v>841</v>
      </c>
      <c r="B476" s="1" t="s">
        <v>394</v>
      </c>
      <c r="C476" s="1" t="s">
        <v>842</v>
      </c>
      <c r="D476" s="1" t="s">
        <v>843</v>
      </c>
      <c r="E476" s="1" t="str">
        <f>VLOOKUP(Table1[[#This Row],[Navn DK]],product_nodes_new_id!A:C,3,FALSE)</f>
        <v>80ac2705-1452-4b63-8583-db0f91767dc2</v>
      </c>
      <c r="F476" s="1">
        <v>0.404900233050487</v>
      </c>
      <c r="G476" s="1">
        <v>0.33339747107058298</v>
      </c>
      <c r="H476" s="1">
        <v>0</v>
      </c>
      <c r="I476" s="1">
        <v>-0.137756884820943</v>
      </c>
      <c r="J476" s="1">
        <v>1</v>
      </c>
      <c r="K476" s="1" t="s">
        <v>24</v>
      </c>
      <c r="L476" s="1">
        <v>0.15</v>
      </c>
      <c r="M476" s="1" t="s">
        <v>25</v>
      </c>
      <c r="N476" s="3" t="s">
        <v>844</v>
      </c>
      <c r="O476" s="1"/>
    </row>
    <row r="477" spans="1:15" x14ac:dyDescent="0.25">
      <c r="A477" s="2" t="s">
        <v>734</v>
      </c>
      <c r="B477" s="1" t="s">
        <v>394</v>
      </c>
      <c r="C477" s="1" t="s">
        <v>735</v>
      </c>
      <c r="D477" s="1" t="s">
        <v>736</v>
      </c>
      <c r="E477" s="1" t="str">
        <f>VLOOKUP(Table1[[#This Row],[Navn DK]],product_nodes_new_id!A:C,3,FALSE)</f>
        <v>0837c4f3-bf7d-4ede-a77b-e6fbe7f1ee31</v>
      </c>
      <c r="F477" s="1">
        <v>2.6011446675493999</v>
      </c>
      <c r="G477" s="1">
        <v>1.8736026721096499</v>
      </c>
      <c r="H477" s="1">
        <v>0</v>
      </c>
      <c r="I477" s="1">
        <v>-0.51054225837295997</v>
      </c>
      <c r="J477" s="1">
        <v>1</v>
      </c>
      <c r="K477" s="1" t="s">
        <v>17</v>
      </c>
      <c r="L477" s="1">
        <v>10</v>
      </c>
      <c r="M477" s="1" t="s">
        <v>69</v>
      </c>
      <c r="N477" s="3" t="s">
        <v>1618</v>
      </c>
      <c r="O477" s="1"/>
    </row>
    <row r="478" spans="1:15" x14ac:dyDescent="0.25">
      <c r="A478" s="2" t="s">
        <v>1359</v>
      </c>
      <c r="B478" s="1" t="s">
        <v>394</v>
      </c>
      <c r="C478" s="1" t="s">
        <v>1360</v>
      </c>
      <c r="D478" s="1" t="s">
        <v>1361</v>
      </c>
      <c r="E478" s="1" t="str">
        <f>VLOOKUP(Table1[[#This Row],[Navn DK]],product_nodes_new_id!A:C,3,FALSE)</f>
        <v>91e0c9eb-edc7-487f-8065-370e958dd1f0</v>
      </c>
      <c r="F478" s="1">
        <v>13.977470205287799</v>
      </c>
      <c r="G478" s="1">
        <v>4.8932112029030996</v>
      </c>
      <c r="H478" s="1">
        <v>3.4718042122241499E-3</v>
      </c>
      <c r="I478" s="1">
        <v>-5.4042942728322299</v>
      </c>
      <c r="J478" s="1">
        <v>1</v>
      </c>
      <c r="K478" s="1" t="s">
        <v>123</v>
      </c>
      <c r="L478" s="1">
        <v>3.95</v>
      </c>
      <c r="M478" s="1" t="s">
        <v>124</v>
      </c>
      <c r="N478" s="3" t="s">
        <v>1680</v>
      </c>
      <c r="O478" s="1"/>
    </row>
    <row r="479" spans="1:15" x14ac:dyDescent="0.25">
      <c r="A479" s="2" t="s">
        <v>1272</v>
      </c>
      <c r="B479" s="1" t="s">
        <v>394</v>
      </c>
      <c r="C479" s="1" t="s">
        <v>1273</v>
      </c>
      <c r="D479" s="1" t="s">
        <v>1274</v>
      </c>
      <c r="E479" s="1" t="str">
        <f>VLOOKUP(Table1[[#This Row],[Navn DK]],product_nodes_new_id!A:C,3,FALSE)</f>
        <v>eed43064-45d7-4328-b538-c4ce846d91c6</v>
      </c>
      <c r="F479" s="1">
        <v>456.23223209957598</v>
      </c>
      <c r="G479" s="1">
        <v>29.1029442379727</v>
      </c>
      <c r="H479" s="1">
        <v>5.1224383642292297</v>
      </c>
      <c r="I479" s="1">
        <v>-192.241883000526</v>
      </c>
      <c r="J479" s="1">
        <v>1</v>
      </c>
      <c r="K479" s="1" t="s">
        <v>123</v>
      </c>
      <c r="L479" s="1">
        <v>134</v>
      </c>
      <c r="M479" s="1" t="s">
        <v>124</v>
      </c>
      <c r="N479" s="3" t="s">
        <v>1275</v>
      </c>
      <c r="O479" s="1"/>
    </row>
    <row r="480" spans="1:15" x14ac:dyDescent="0.25">
      <c r="A480" s="2" t="s">
        <v>1312</v>
      </c>
      <c r="B480" s="1" t="s">
        <v>394</v>
      </c>
      <c r="C480" s="1" t="s">
        <v>1313</v>
      </c>
      <c r="D480" s="1" t="s">
        <v>1314</v>
      </c>
      <c r="E480" s="1" t="str">
        <f>VLOOKUP(Table1[[#This Row],[Navn DK]],product_nodes_new_id!A:C,3,FALSE)</f>
        <v>412867d9-4b99-4566-a22e-d0063ab879a5</v>
      </c>
      <c r="F480" s="1">
        <v>638.72512493940599</v>
      </c>
      <c r="G480" s="1">
        <v>40.7441219331618</v>
      </c>
      <c r="H480" s="1">
        <v>7.1714137099209303</v>
      </c>
      <c r="I480" s="1">
        <v>-269.13863620073698</v>
      </c>
      <c r="J480" s="1">
        <v>1</v>
      </c>
      <c r="K480" s="1" t="s">
        <v>123</v>
      </c>
      <c r="L480" s="1">
        <v>187.6</v>
      </c>
      <c r="M480" s="1" t="s">
        <v>124</v>
      </c>
      <c r="N480" s="3" t="s">
        <v>1315</v>
      </c>
      <c r="O480" s="1"/>
    </row>
    <row r="481" spans="1:15" x14ac:dyDescent="0.25">
      <c r="A481" s="2" t="s">
        <v>1434</v>
      </c>
      <c r="B481" s="1" t="s">
        <v>394</v>
      </c>
      <c r="C481" s="1" t="s">
        <v>1435</v>
      </c>
      <c r="D481" s="1" t="s">
        <v>1436</v>
      </c>
      <c r="E481" s="1" t="str">
        <f>VLOOKUP(Table1[[#This Row],[Navn DK]],product_nodes_new_id!A:C,3,FALSE)</f>
        <v>846ea2e2-582c-4eef-bce1-7576045d3099</v>
      </c>
      <c r="F481" s="1">
        <v>319.36256246970299</v>
      </c>
      <c r="G481" s="1">
        <v>20.3720609665809</v>
      </c>
      <c r="H481" s="1">
        <v>3.5857068549604598</v>
      </c>
      <c r="I481" s="1">
        <v>-134.56931810036801</v>
      </c>
      <c r="J481" s="1">
        <v>1</v>
      </c>
      <c r="K481" s="1" t="s">
        <v>123</v>
      </c>
      <c r="L481" s="1">
        <v>93.8</v>
      </c>
      <c r="M481" s="1" t="s">
        <v>124</v>
      </c>
      <c r="N481" s="3" t="s">
        <v>1437</v>
      </c>
      <c r="O481" s="1"/>
    </row>
    <row r="482" spans="1:15" x14ac:dyDescent="0.25">
      <c r="A482" s="2" t="s">
        <v>1304</v>
      </c>
      <c r="B482" s="1" t="s">
        <v>394</v>
      </c>
      <c r="C482" s="1" t="s">
        <v>1305</v>
      </c>
      <c r="D482" s="1" t="s">
        <v>1306</v>
      </c>
      <c r="E482" s="1" t="str">
        <f>VLOOKUP(Table1[[#This Row],[Navn DK]],product_nodes_new_id!A:C,3,FALSE)</f>
        <v>e5a42c2d-3314-43d5-b4ca-23a04416b23b</v>
      </c>
      <c r="F482" s="1">
        <v>389.04142255988802</v>
      </c>
      <c r="G482" s="1">
        <v>4.2819300051919802</v>
      </c>
      <c r="H482" s="1">
        <v>0.11905403775171</v>
      </c>
      <c r="I482" s="1">
        <v>-128.27195095403701</v>
      </c>
      <c r="J482" s="1">
        <v>1</v>
      </c>
      <c r="K482" s="1" t="s">
        <v>123</v>
      </c>
      <c r="L482" s="1">
        <v>184.2</v>
      </c>
      <c r="M482" s="1" t="s">
        <v>124</v>
      </c>
      <c r="N482" s="3" t="s">
        <v>1307</v>
      </c>
      <c r="O482" s="1"/>
    </row>
    <row r="483" spans="1:15" x14ac:dyDescent="0.25">
      <c r="A483" s="2" t="s">
        <v>1401</v>
      </c>
      <c r="B483" s="1" t="s">
        <v>394</v>
      </c>
      <c r="C483" s="1" t="s">
        <v>1402</v>
      </c>
      <c r="D483" s="1" t="s">
        <v>1403</v>
      </c>
      <c r="E483" s="1" t="str">
        <f>VLOOKUP(Table1[[#This Row],[Navn DK]],product_nodes_new_id!A:C,3,FALSE)</f>
        <v>065a4af5-fe2e-4df3-ac15-6de25a6acfdc</v>
      </c>
      <c r="F483" s="1">
        <v>909.03855986468602</v>
      </c>
      <c r="G483" s="1">
        <v>11.352678760125899</v>
      </c>
      <c r="H483" s="1">
        <v>0.192848138335594</v>
      </c>
      <c r="I483" s="1">
        <v>-217.63034891900799</v>
      </c>
      <c r="J483" s="1">
        <v>1</v>
      </c>
      <c r="K483" s="1" t="s">
        <v>123</v>
      </c>
      <c r="L483" s="1">
        <v>488.9</v>
      </c>
      <c r="M483" s="1" t="s">
        <v>124</v>
      </c>
      <c r="N483" s="3" t="s">
        <v>1404</v>
      </c>
      <c r="O483" s="1"/>
    </row>
    <row r="484" spans="1:15" x14ac:dyDescent="0.25">
      <c r="A484" s="2" t="s">
        <v>1409</v>
      </c>
      <c r="B484" s="1" t="s">
        <v>394</v>
      </c>
      <c r="C484" s="1" t="s">
        <v>1410</v>
      </c>
      <c r="D484" s="1" t="s">
        <v>1411</v>
      </c>
      <c r="E484" s="1" t="str">
        <f>VLOOKUP(Table1[[#This Row],[Navn DK]],product_nodes_new_id!A:C,3,FALSE)</f>
        <v>4c6a6ce0-8c78-421c-b713-8867f31f93db</v>
      </c>
      <c r="F484" s="1">
        <v>837.13050011642304</v>
      </c>
      <c r="G484" s="1">
        <v>4.2819300051919802</v>
      </c>
      <c r="H484" s="1">
        <v>0.11906195821759399</v>
      </c>
      <c r="I484" s="1">
        <v>-128.28384258649001</v>
      </c>
      <c r="J484" s="1">
        <v>1</v>
      </c>
      <c r="K484" s="1" t="s">
        <v>123</v>
      </c>
      <c r="L484" s="1">
        <v>563</v>
      </c>
      <c r="M484" s="1" t="s">
        <v>124</v>
      </c>
      <c r="N484" s="3" t="s">
        <v>1412</v>
      </c>
      <c r="O484" s="1"/>
    </row>
    <row r="485" spans="1:15" x14ac:dyDescent="0.25">
      <c r="A485" s="2" t="s">
        <v>1397</v>
      </c>
      <c r="B485" s="1" t="s">
        <v>394</v>
      </c>
      <c r="C485" s="1" t="s">
        <v>1398</v>
      </c>
      <c r="D485" s="1" t="s">
        <v>1399</v>
      </c>
      <c r="E485" s="1" t="str">
        <f>VLOOKUP(Table1[[#This Row],[Navn DK]],product_nodes_new_id!A:C,3,FALSE)</f>
        <v>db673cdf-924a-47a0-bdc7-134418b3a1b5</v>
      </c>
      <c r="F485" s="1">
        <v>6069.9587945411704</v>
      </c>
      <c r="G485" s="1">
        <v>11.352678760125899</v>
      </c>
      <c r="H485" s="1">
        <v>0.19281029610970599</v>
      </c>
      <c r="I485" s="1">
        <v>-217.57353334173101</v>
      </c>
      <c r="J485" s="1">
        <v>1</v>
      </c>
      <c r="K485" s="1" t="s">
        <v>123</v>
      </c>
      <c r="L485" s="1">
        <v>4855</v>
      </c>
      <c r="M485" s="1" t="s">
        <v>124</v>
      </c>
      <c r="N485" s="3" t="s">
        <v>1400</v>
      </c>
      <c r="O485" s="1"/>
    </row>
    <row r="486" spans="1:15" x14ac:dyDescent="0.25">
      <c r="A486" s="2" t="s">
        <v>1244</v>
      </c>
      <c r="B486" s="1" t="s">
        <v>394</v>
      </c>
      <c r="C486" s="1" t="s">
        <v>1245</v>
      </c>
      <c r="D486" s="1" t="s">
        <v>1246</v>
      </c>
      <c r="E486" s="1" t="str">
        <f>VLOOKUP(Table1[[#This Row],[Navn DK]],product_nodes_new_id!A:C,3,FALSE)</f>
        <v>5974192e-a7e2-4107-86e7-5a131fa9f426</v>
      </c>
      <c r="F486" s="1">
        <v>284.42150577356</v>
      </c>
      <c r="G486" s="1">
        <v>5.14773597518389</v>
      </c>
      <c r="H486" s="1">
        <v>0.12680641374803001</v>
      </c>
      <c r="I486" s="1">
        <v>-142.140527165664</v>
      </c>
      <c r="J486" s="1">
        <v>1</v>
      </c>
      <c r="K486" s="1" t="s">
        <v>123</v>
      </c>
      <c r="L486" s="1">
        <v>104.2</v>
      </c>
      <c r="M486" s="1" t="s">
        <v>124</v>
      </c>
      <c r="N486" s="3" t="s">
        <v>1247</v>
      </c>
      <c r="O486" s="1"/>
    </row>
    <row r="487" spans="1:15" x14ac:dyDescent="0.25">
      <c r="A487" s="2" t="s">
        <v>1240</v>
      </c>
      <c r="B487" s="1" t="s">
        <v>394</v>
      </c>
      <c r="C487" s="1" t="s">
        <v>1241</v>
      </c>
      <c r="D487" s="1" t="s">
        <v>1242</v>
      </c>
      <c r="E487" s="1" t="str">
        <f>VLOOKUP(Table1[[#This Row],[Navn DK]],product_nodes_new_id!A:C,3,FALSE)</f>
        <v>d0a5316e-6d33-45a2-a27d-0701ec346ea8</v>
      </c>
      <c r="F487" s="1">
        <v>283.82111495346601</v>
      </c>
      <c r="G487" s="1">
        <v>5.14773597518389</v>
      </c>
      <c r="H487" s="1">
        <v>0.12680641374803001</v>
      </c>
      <c r="I487" s="1">
        <v>-142.140527165664</v>
      </c>
      <c r="J487" s="1">
        <v>1</v>
      </c>
      <c r="K487" s="1" t="s">
        <v>123</v>
      </c>
      <c r="L487" s="1">
        <v>104</v>
      </c>
      <c r="M487" s="1" t="s">
        <v>124</v>
      </c>
      <c r="N487" s="3" t="s">
        <v>1243</v>
      </c>
      <c r="O487" s="1"/>
    </row>
    <row r="488" spans="1:15" x14ac:dyDescent="0.25">
      <c r="A488" s="2" t="s">
        <v>1323</v>
      </c>
      <c r="B488" s="1" t="s">
        <v>394</v>
      </c>
      <c r="C488" s="1" t="s">
        <v>1324</v>
      </c>
      <c r="D488" s="1" t="s">
        <v>1325</v>
      </c>
      <c r="E488" s="1" t="str">
        <f>VLOOKUP(Table1[[#This Row],[Navn DK]],product_nodes_new_id!A:C,3,FALSE)</f>
        <v>1d37f8a6-3efc-4ad4-969b-6503b781734a</v>
      </c>
      <c r="F488" s="1">
        <v>542.86885111254003</v>
      </c>
      <c r="G488" s="1">
        <v>13.517193685105701</v>
      </c>
      <c r="H488" s="1">
        <v>0.21041133140615301</v>
      </c>
      <c r="I488" s="1">
        <v>-249.618057403797</v>
      </c>
      <c r="J488" s="1">
        <v>1</v>
      </c>
      <c r="K488" s="1" t="s">
        <v>123</v>
      </c>
      <c r="L488" s="1">
        <v>199.2</v>
      </c>
      <c r="M488" s="1" t="s">
        <v>124</v>
      </c>
      <c r="N488" s="3" t="s">
        <v>1326</v>
      </c>
      <c r="O488" s="1"/>
    </row>
    <row r="489" spans="1:15" x14ac:dyDescent="0.25">
      <c r="A489" s="2" t="s">
        <v>126</v>
      </c>
      <c r="B489" s="1" t="s">
        <v>14</v>
      </c>
      <c r="C489" s="1" t="s">
        <v>127</v>
      </c>
      <c r="D489" s="1" t="s">
        <v>128</v>
      </c>
      <c r="E489" s="1" t="str">
        <f>VLOOKUP(Table1[[#This Row],[Navn DK]],product_nodes_new_id!A:C,3,FALSE)</f>
        <v>1b7e9318-e17d-43f4-82a8-5010edddbf9d</v>
      </c>
      <c r="F489" s="1">
        <v>9210</v>
      </c>
      <c r="G489" s="1">
        <v>81.3</v>
      </c>
      <c r="H489" s="1">
        <v>7.68</v>
      </c>
      <c r="I489" s="1">
        <v>-4310</v>
      </c>
      <c r="J489" s="1">
        <v>1</v>
      </c>
      <c r="K489" s="1" t="s">
        <v>123</v>
      </c>
      <c r="L489" s="1">
        <v>1710.14</v>
      </c>
      <c r="M489" s="1" t="s">
        <v>124</v>
      </c>
      <c r="N489" s="3" t="s">
        <v>125</v>
      </c>
      <c r="O489" s="1"/>
    </row>
    <row r="490" spans="1:15" x14ac:dyDescent="0.25">
      <c r="A490" s="2" t="s">
        <v>120</v>
      </c>
      <c r="B490" s="1" t="s">
        <v>14</v>
      </c>
      <c r="C490" s="1" t="s">
        <v>121</v>
      </c>
      <c r="D490" s="1" t="s">
        <v>122</v>
      </c>
      <c r="E490" s="1" t="str">
        <f>VLOOKUP(Table1[[#This Row],[Navn DK]],product_nodes_new_id!A:C,3,FALSE)</f>
        <v>630e3b31-b94f-4659-aa90-983a6978074b</v>
      </c>
      <c r="F490" s="1">
        <v>3540</v>
      </c>
      <c r="G490" s="1">
        <v>32.5</v>
      </c>
      <c r="H490" s="1">
        <v>2.33</v>
      </c>
      <c r="I490" s="1">
        <v>-1680</v>
      </c>
      <c r="J490" s="1">
        <v>1</v>
      </c>
      <c r="K490" s="1" t="s">
        <v>123</v>
      </c>
      <c r="L490" s="1">
        <v>656.79</v>
      </c>
      <c r="M490" s="1" t="s">
        <v>124</v>
      </c>
      <c r="N490" s="3" t="s">
        <v>125</v>
      </c>
      <c r="O490" s="1"/>
    </row>
    <row r="491" spans="1:15" x14ac:dyDescent="0.25">
      <c r="A491" s="2" t="s">
        <v>1209</v>
      </c>
      <c r="B491" s="1" t="s">
        <v>394</v>
      </c>
      <c r="C491" s="1" t="s">
        <v>1210</v>
      </c>
      <c r="D491" s="1" t="s">
        <v>1211</v>
      </c>
      <c r="E491" s="1" t="str">
        <f>VLOOKUP(Table1[[#This Row],[Navn DK]],product_nodes_new_id!A:C,3,FALSE)</f>
        <v>1413ed2e-3351-4ed7-bb33-22fb805f3a94</v>
      </c>
      <c r="F491" s="1">
        <v>3.89285056026345</v>
      </c>
      <c r="G491" s="1">
        <v>1.2930575377801401</v>
      </c>
      <c r="H491" s="1">
        <v>2.36133647802328E-2</v>
      </c>
      <c r="I491" s="1">
        <v>-1.00579162697586</v>
      </c>
      <c r="J491" s="1">
        <v>1</v>
      </c>
      <c r="K491" s="1" t="s">
        <v>123</v>
      </c>
      <c r="L491" s="1">
        <v>0.878</v>
      </c>
      <c r="M491" s="1" t="s">
        <v>124</v>
      </c>
      <c r="N491" s="3" t="s">
        <v>1212</v>
      </c>
      <c r="O491" s="1"/>
    </row>
    <row r="492" spans="1:15" x14ac:dyDescent="0.25">
      <c r="A492" s="2" t="s">
        <v>1217</v>
      </c>
      <c r="B492" s="1" t="s">
        <v>394</v>
      </c>
      <c r="C492" s="1" t="s">
        <v>1218</v>
      </c>
      <c r="D492" s="1" t="s">
        <v>1219</v>
      </c>
      <c r="E492" s="1" t="str">
        <f>VLOOKUP(Table1[[#This Row],[Navn DK]],product_nodes_new_id!A:C,3,FALSE)</f>
        <v>b9c5a7b6-c74a-416a-8ebb-4888a8a7e64f</v>
      </c>
      <c r="F492" s="1">
        <v>9.2187215016730502</v>
      </c>
      <c r="G492" s="1">
        <v>0</v>
      </c>
      <c r="H492" s="1">
        <v>0</v>
      </c>
      <c r="I492" s="1">
        <v>-3.7447021457881799</v>
      </c>
      <c r="J492" s="1">
        <v>1</v>
      </c>
      <c r="K492" s="1" t="s">
        <v>123</v>
      </c>
      <c r="L492" s="1">
        <v>1.014</v>
      </c>
      <c r="M492" s="1" t="s">
        <v>124</v>
      </c>
      <c r="N492" s="3" t="s">
        <v>1220</v>
      </c>
      <c r="O492" s="1"/>
    </row>
    <row r="493" spans="1:15" x14ac:dyDescent="0.25">
      <c r="A493" s="2" t="s">
        <v>1233</v>
      </c>
      <c r="B493" s="1" t="s">
        <v>394</v>
      </c>
      <c r="C493" s="1" t="s">
        <v>1234</v>
      </c>
      <c r="D493" s="1" t="s">
        <v>1235</v>
      </c>
      <c r="E493" s="1" t="str">
        <f>VLOOKUP(Table1[[#This Row],[Navn DK]],product_nodes_new_id!A:C,3,FALSE)</f>
        <v>3a83cd9e-4387-4907-a8cd-5dbb3992bf3b</v>
      </c>
      <c r="F493" s="1">
        <v>0.77010415321760795</v>
      </c>
      <c r="G493" s="1">
        <v>0.25155718456223702</v>
      </c>
      <c r="H493" s="1">
        <v>0</v>
      </c>
      <c r="I493" s="1">
        <v>-8.52087563098443E-2</v>
      </c>
      <c r="J493" s="1">
        <v>1</v>
      </c>
      <c r="K493" s="1" t="s">
        <v>123</v>
      </c>
      <c r="L493" s="1">
        <v>0.1</v>
      </c>
      <c r="M493" s="1" t="s">
        <v>124</v>
      </c>
      <c r="N493" s="3" t="s">
        <v>1677</v>
      </c>
      <c r="O493" s="1"/>
    </row>
    <row r="494" spans="1:15" x14ac:dyDescent="0.25">
      <c r="A494" s="2" t="s">
        <v>764</v>
      </c>
      <c r="B494" s="1" t="s">
        <v>394</v>
      </c>
      <c r="C494" s="1" t="s">
        <v>765</v>
      </c>
      <c r="D494" s="1" t="s">
        <v>766</v>
      </c>
      <c r="E494" s="1" t="str">
        <f>VLOOKUP(Table1[[#This Row],[Navn DK]],product_nodes_new_id!A:C,3,FALSE)</f>
        <v>2af6a6fd-9fcd-4f05-a455-5d8275033238</v>
      </c>
      <c r="F494" s="1">
        <v>15.789474419154899</v>
      </c>
      <c r="G494" s="1">
        <v>0.692518500390778</v>
      </c>
      <c r="H494" s="1">
        <v>0</v>
      </c>
      <c r="I494" s="1">
        <v>-8.7508834737975292</v>
      </c>
      <c r="J494" s="1">
        <v>1</v>
      </c>
      <c r="K494" s="1" t="s">
        <v>159</v>
      </c>
      <c r="L494" s="1">
        <v>1.43</v>
      </c>
      <c r="M494" s="1" t="s">
        <v>160</v>
      </c>
      <c r="N494" s="3" t="s">
        <v>767</v>
      </c>
      <c r="O494" s="1"/>
    </row>
    <row r="495" spans="1:15" x14ac:dyDescent="0.25">
      <c r="A495" s="2" t="s">
        <v>786</v>
      </c>
      <c r="B495" s="1" t="s">
        <v>394</v>
      </c>
      <c r="C495" s="1" t="s">
        <v>787</v>
      </c>
      <c r="D495" s="1" t="s">
        <v>788</v>
      </c>
      <c r="E495" s="1" t="str">
        <f>VLOOKUP(Table1[[#This Row],[Navn DK]],product_nodes_new_id!A:C,3,FALSE)</f>
        <v>22b952b4-5dc5-480f-b2b4-64ccb1b217a4</v>
      </c>
      <c r="F495" s="1">
        <v>8.1308323459671499</v>
      </c>
      <c r="G495" s="1">
        <v>2.9677746986751701</v>
      </c>
      <c r="H495" s="1">
        <v>0</v>
      </c>
      <c r="I495" s="1">
        <v>-2.98443999091685</v>
      </c>
      <c r="J495" s="1">
        <v>1</v>
      </c>
      <c r="K495" s="1" t="s">
        <v>159</v>
      </c>
      <c r="L495" s="1">
        <v>2.8</v>
      </c>
      <c r="M495" s="1" t="s">
        <v>160</v>
      </c>
      <c r="N495" s="3" t="s">
        <v>1624</v>
      </c>
      <c r="O495" s="1"/>
    </row>
    <row r="496" spans="1:15" x14ac:dyDescent="0.25">
      <c r="A496" s="2" t="s">
        <v>779</v>
      </c>
      <c r="B496" s="1" t="s">
        <v>394</v>
      </c>
      <c r="C496" s="1" t="s">
        <v>780</v>
      </c>
      <c r="D496" s="1" t="s">
        <v>781</v>
      </c>
      <c r="E496" s="1" t="str">
        <f>VLOOKUP(Table1[[#This Row],[Navn DK]],product_nodes_new_id!A:C,3,FALSE)</f>
        <v>a1de65bc-30d3-45fd-8a7d-cda6042e3eea</v>
      </c>
      <c r="F496" s="1">
        <v>-0.36955560479312899</v>
      </c>
      <c r="G496" s="1">
        <v>3.8515560214498898</v>
      </c>
      <c r="H496" s="1">
        <v>0</v>
      </c>
      <c r="I496" s="1">
        <v>-1.53234917424133</v>
      </c>
      <c r="J496" s="1">
        <v>1</v>
      </c>
      <c r="K496" s="1" t="s">
        <v>159</v>
      </c>
      <c r="L496" s="1">
        <v>2.11</v>
      </c>
      <c r="M496" s="1" t="s">
        <v>160</v>
      </c>
      <c r="N496" s="3" t="s">
        <v>1623</v>
      </c>
      <c r="O496" s="1"/>
    </row>
    <row r="497" spans="1:15" x14ac:dyDescent="0.25">
      <c r="A497" s="2" t="s">
        <v>760</v>
      </c>
      <c r="B497" s="1" t="s">
        <v>394</v>
      </c>
      <c r="C497" s="1" t="s">
        <v>761</v>
      </c>
      <c r="D497" s="1" t="s">
        <v>762</v>
      </c>
      <c r="E497" s="1" t="str">
        <f>VLOOKUP(Table1[[#This Row],[Navn DK]],product_nodes_new_id!A:C,3,FALSE)</f>
        <v>e945c821-3bbc-4a98-bb6c-909335fed1d3</v>
      </c>
      <c r="F497" s="1">
        <v>12.9537116067852</v>
      </c>
      <c r="G497" s="1">
        <v>0</v>
      </c>
      <c r="H497" s="1">
        <v>0</v>
      </c>
      <c r="I497" s="1">
        <v>-7.4221150453988596</v>
      </c>
      <c r="J497" s="1">
        <v>1</v>
      </c>
      <c r="K497" s="1" t="s">
        <v>159</v>
      </c>
      <c r="L497" s="1">
        <v>1.02</v>
      </c>
      <c r="M497" s="1" t="s">
        <v>160</v>
      </c>
      <c r="N497" s="3" t="s">
        <v>763</v>
      </c>
      <c r="O497" s="1"/>
    </row>
    <row r="498" spans="1:15" x14ac:dyDescent="0.25">
      <c r="A498" s="2" t="s">
        <v>768</v>
      </c>
      <c r="B498" s="1" t="s">
        <v>394</v>
      </c>
      <c r="C498" s="1" t="s">
        <v>769</v>
      </c>
      <c r="D498" s="1" t="s">
        <v>770</v>
      </c>
      <c r="E498" s="1" t="str">
        <f>VLOOKUP(Table1[[#This Row],[Navn DK]],product_nodes_new_id!A:C,3,FALSE)</f>
        <v>9957d83a-8561-4458-8d93-9a76edca9279</v>
      </c>
      <c r="F498" s="1">
        <v>17.0444699086916</v>
      </c>
      <c r="G498" s="1">
        <v>0.58719249272678098</v>
      </c>
      <c r="H498" s="1">
        <v>0</v>
      </c>
      <c r="I498" s="1">
        <v>-9.5879851260249094</v>
      </c>
      <c r="J498" s="1">
        <v>1</v>
      </c>
      <c r="K498" s="1" t="s">
        <v>159</v>
      </c>
      <c r="L498" s="1">
        <v>1.51</v>
      </c>
      <c r="M498" s="1" t="s">
        <v>160</v>
      </c>
      <c r="N498" s="3" t="s">
        <v>771</v>
      </c>
      <c r="O498" s="1"/>
    </row>
    <row r="499" spans="1:15" x14ac:dyDescent="0.25">
      <c r="A499" s="2" t="s">
        <v>789</v>
      </c>
      <c r="B499" s="1" t="s">
        <v>394</v>
      </c>
      <c r="C499" s="1" t="s">
        <v>790</v>
      </c>
      <c r="D499" s="1" t="s">
        <v>791</v>
      </c>
      <c r="E499" s="1" t="str">
        <f>VLOOKUP(Table1[[#This Row],[Navn DK]],product_nodes_new_id!A:C,3,FALSE)</f>
        <v>4f45a681-0162-4f7b-b206-dbfcabedeedd</v>
      </c>
      <c r="F499" s="1">
        <v>9.0730390368029497</v>
      </c>
      <c r="G499" s="1">
        <v>3.6526457829848198</v>
      </c>
      <c r="H499" s="1">
        <v>0</v>
      </c>
      <c r="I499" s="1">
        <v>-3.1518829426602002</v>
      </c>
      <c r="J499" s="1">
        <v>1</v>
      </c>
      <c r="K499" s="1" t="s">
        <v>159</v>
      </c>
      <c r="L499" s="1">
        <v>3.1</v>
      </c>
      <c r="M499" s="1" t="s">
        <v>160</v>
      </c>
      <c r="N499" s="3" t="s">
        <v>792</v>
      </c>
      <c r="O499" s="1"/>
    </row>
    <row r="500" spans="1:15" x14ac:dyDescent="0.25">
      <c r="A500" s="2" t="s">
        <v>756</v>
      </c>
      <c r="B500" s="1" t="s">
        <v>394</v>
      </c>
      <c r="C500" s="1" t="s">
        <v>757</v>
      </c>
      <c r="D500" s="1" t="s">
        <v>758</v>
      </c>
      <c r="E500" s="1" t="str">
        <f>VLOOKUP(Table1[[#This Row],[Navn DK]],product_nodes_new_id!A:C,3,FALSE)</f>
        <v>f681db0e-fc94-450d-ae6d-641d00623f20</v>
      </c>
      <c r="F500" s="1">
        <v>12.445722916323099</v>
      </c>
      <c r="G500" s="1">
        <v>0</v>
      </c>
      <c r="H500" s="1">
        <v>0</v>
      </c>
      <c r="I500" s="1">
        <v>-7.1310517102851803</v>
      </c>
      <c r="J500" s="1">
        <v>1</v>
      </c>
      <c r="K500" s="1" t="s">
        <v>159</v>
      </c>
      <c r="L500" s="1">
        <v>0.98</v>
      </c>
      <c r="M500" s="1" t="s">
        <v>160</v>
      </c>
      <c r="N500" s="3" t="s">
        <v>759</v>
      </c>
      <c r="O500" s="1"/>
    </row>
    <row r="501" spans="1:15" x14ac:dyDescent="0.25">
      <c r="A501" s="2" t="s">
        <v>782</v>
      </c>
      <c r="B501" s="1" t="s">
        <v>394</v>
      </c>
      <c r="C501" s="1" t="s">
        <v>783</v>
      </c>
      <c r="D501" s="1" t="s">
        <v>784</v>
      </c>
      <c r="E501" s="1" t="str">
        <f>VLOOKUP(Table1[[#This Row],[Navn DK]],product_nodes_new_id!A:C,3,FALSE)</f>
        <v>d964d601-08b1-4780-a684-8d2c1ecc3ff4</v>
      </c>
      <c r="F501" s="1">
        <v>-8.9903706326108099E-2</v>
      </c>
      <c r="G501" s="1">
        <v>3.8333022014430198</v>
      </c>
      <c r="H501" s="1">
        <v>0</v>
      </c>
      <c r="I501" s="1">
        <v>-1.5260317771337999</v>
      </c>
      <c r="J501" s="1">
        <v>1</v>
      </c>
      <c r="K501" s="1" t="s">
        <v>159</v>
      </c>
      <c r="L501" s="1">
        <v>2.11</v>
      </c>
      <c r="M501" s="1" t="s">
        <v>160</v>
      </c>
      <c r="N501" s="3" t="s">
        <v>785</v>
      </c>
      <c r="O501" s="1"/>
    </row>
    <row r="502" spans="1:15" x14ac:dyDescent="0.25">
      <c r="A502" s="2" t="s">
        <v>183</v>
      </c>
      <c r="B502" s="1" t="s">
        <v>130</v>
      </c>
      <c r="C502" s="1" t="s">
        <v>22</v>
      </c>
      <c r="D502" s="1" t="s">
        <v>184</v>
      </c>
      <c r="E502" s="1" t="str">
        <f>VLOOKUP(Table1[[#This Row],[Navn DK]],product_nodes_new_id!A:C,3,FALSE)</f>
        <v>24613803-8811-4315-adc2-62d8257a7ee2</v>
      </c>
      <c r="F502" s="1">
        <v>23.249050000000004</v>
      </c>
      <c r="G502" s="1">
        <v>0</v>
      </c>
      <c r="H502" s="1">
        <v>0.29370000000000002</v>
      </c>
      <c r="I502" s="1">
        <v>0</v>
      </c>
      <c r="J502" s="1">
        <v>1</v>
      </c>
      <c r="K502" s="1" t="s">
        <v>24</v>
      </c>
      <c r="L502" s="1">
        <v>2.7</v>
      </c>
      <c r="M502" s="1" t="s">
        <v>25</v>
      </c>
      <c r="N502" s="3" t="s">
        <v>133</v>
      </c>
      <c r="O502" s="1"/>
    </row>
    <row r="503" spans="1:15" x14ac:dyDescent="0.25">
      <c r="A503" s="2" t="s">
        <v>134</v>
      </c>
      <c r="B503" s="1" t="s">
        <v>130</v>
      </c>
      <c r="C503" s="1" t="s">
        <v>22</v>
      </c>
      <c r="D503" s="1" t="s">
        <v>135</v>
      </c>
      <c r="E503" s="1" t="str">
        <f>VLOOKUP(Table1[[#This Row],[Navn DK]],product_nodes_new_id!A:C,3,FALSE)</f>
        <v>e3d48459-c04c-4dac-b1d9-89025b92a271</v>
      </c>
      <c r="F503" s="1">
        <v>1.4960000000000002</v>
      </c>
      <c r="G503" s="1">
        <v>0.47190000000000004</v>
      </c>
      <c r="H503" s="1">
        <v>0</v>
      </c>
      <c r="I503" s="1">
        <v>-0.35730000000000001</v>
      </c>
      <c r="J503" s="1">
        <v>1</v>
      </c>
      <c r="K503" s="1" t="s">
        <v>17</v>
      </c>
      <c r="L503" s="1">
        <v>1500</v>
      </c>
      <c r="M503" s="1" t="s">
        <v>69</v>
      </c>
      <c r="N503" s="3" t="s">
        <v>133</v>
      </c>
      <c r="O503" s="1"/>
    </row>
    <row r="504" spans="1:15" x14ac:dyDescent="0.25">
      <c r="A504" s="2" t="s">
        <v>273</v>
      </c>
      <c r="B504" s="1" t="s">
        <v>130</v>
      </c>
      <c r="C504" s="1" t="s">
        <v>22</v>
      </c>
      <c r="D504" s="1" t="s">
        <v>1704</v>
      </c>
      <c r="E504" s="1" t="str">
        <f>VLOOKUP(Table1[[#This Row],[Navn DK]],product_nodes_new_id!A:C,3,FALSE)</f>
        <v>d74337cc-1b00-47eb-b68c-cd1c6352d697</v>
      </c>
      <c r="F504" s="1">
        <v>4.4264000000000001</v>
      </c>
      <c r="G504" s="1">
        <v>3.806</v>
      </c>
      <c r="H504" s="1">
        <v>1.3200000000000002E-2</v>
      </c>
      <c r="I504" s="1">
        <v>-1.404E-2</v>
      </c>
      <c r="J504" s="1">
        <v>1</v>
      </c>
      <c r="K504" s="1" t="s">
        <v>248</v>
      </c>
      <c r="L504" s="1">
        <v>32.625</v>
      </c>
      <c r="M504" s="1" t="s">
        <v>69</v>
      </c>
      <c r="N504" s="3" t="s">
        <v>133</v>
      </c>
      <c r="O504" s="1"/>
    </row>
    <row r="505" spans="1:15" x14ac:dyDescent="0.25">
      <c r="A505" s="2" t="s">
        <v>1686</v>
      </c>
      <c r="B505" s="1" t="s">
        <v>394</v>
      </c>
      <c r="C505" s="1" t="s">
        <v>1687</v>
      </c>
      <c r="D505" s="1" t="s">
        <v>1688</v>
      </c>
      <c r="E505" s="1" t="str">
        <f>VLOOKUP(Table1[[#This Row],[Navn DK]],product_nodes_new_id!A:C,3,FALSE)</f>
        <v>701c3e51-0e23-4cf9-8c32-10a77c215f01</v>
      </c>
      <c r="F505" s="1">
        <v>3.222</v>
      </c>
      <c r="G505" s="1">
        <v>5.7259999999999998E-2</v>
      </c>
      <c r="H505" s="1">
        <v>2.6390000000000002E-4</v>
      </c>
      <c r="I505" s="1">
        <v>-2.4980000000000002</v>
      </c>
      <c r="J505" s="1">
        <v>1</v>
      </c>
      <c r="K505" s="1" t="s">
        <v>17</v>
      </c>
      <c r="L505" s="1">
        <v>7200</v>
      </c>
      <c r="M505" s="1" t="s">
        <v>69</v>
      </c>
      <c r="N505" s="3" t="s">
        <v>1689</v>
      </c>
      <c r="O505" s="1"/>
    </row>
    <row r="506" spans="1:15" x14ac:dyDescent="0.25">
      <c r="A506" s="4" t="s">
        <v>1537</v>
      </c>
      <c r="B506" s="5" t="s">
        <v>1512</v>
      </c>
      <c r="C506" s="5" t="s">
        <v>22</v>
      </c>
      <c r="D506" s="5" t="s">
        <v>1538</v>
      </c>
      <c r="E506" s="5" t="e">
        <f>VLOOKUP(Table1[[#This Row],[Navn DK]],product_nodes_new_id!A:C,3,FALSE)</f>
        <v>#N/A</v>
      </c>
      <c r="F506" s="5">
        <v>6.0999999999999999E-2</v>
      </c>
      <c r="G506" s="5">
        <v>6.9000000000000006E-2</v>
      </c>
      <c r="H506" s="5">
        <v>0</v>
      </c>
      <c r="I506" s="5">
        <v>-3.6999999999999998E-2</v>
      </c>
      <c r="J506" s="5"/>
      <c r="K506" s="1"/>
      <c r="L506" s="5">
        <v>0.18</v>
      </c>
      <c r="M506" s="1" t="s">
        <v>25</v>
      </c>
      <c r="N506" s="6" t="s">
        <v>1514</v>
      </c>
      <c r="O506" s="5"/>
    </row>
    <row r="507" spans="1:15" x14ac:dyDescent="0.25">
      <c r="A507" s="2" t="s">
        <v>1539</v>
      </c>
      <c r="B507" s="1" t="s">
        <v>1512</v>
      </c>
      <c r="C507" s="1" t="s">
        <v>22</v>
      </c>
      <c r="D507" s="1" t="s">
        <v>1540</v>
      </c>
      <c r="E507" s="1" t="e">
        <f>VLOOKUP(Table1[[#This Row],[Navn DK]],product_nodes_new_id!A:C,3,FALSE)</f>
        <v>#N/A</v>
      </c>
      <c r="F507" s="1">
        <v>6.4000000000000001E-2</v>
      </c>
      <c r="G507" s="1">
        <v>1.4E-2</v>
      </c>
      <c r="H507" s="1">
        <v>0</v>
      </c>
      <c r="I507" s="1">
        <v>-1.7999999999999999E-2</v>
      </c>
      <c r="J507" s="1"/>
      <c r="K507" s="1"/>
      <c r="L507" s="1">
        <v>0.99</v>
      </c>
      <c r="M507" s="1" t="s">
        <v>25</v>
      </c>
      <c r="N507" s="3" t="s">
        <v>1514</v>
      </c>
      <c r="O507" s="1"/>
    </row>
    <row r="508" spans="1:15" x14ac:dyDescent="0.25">
      <c r="A508" s="2" t="s">
        <v>1541</v>
      </c>
      <c r="B508" s="1" t="s">
        <v>1512</v>
      </c>
      <c r="C508" s="1" t="s">
        <v>22</v>
      </c>
      <c r="D508" s="1" t="s">
        <v>1542</v>
      </c>
      <c r="E508" s="1" t="e">
        <f>VLOOKUP(Table1[[#This Row],[Navn DK]],product_nodes_new_id!A:C,3,FALSE)</f>
        <v>#N/A</v>
      </c>
      <c r="F508" s="1">
        <v>1.0589999999999999</v>
      </c>
      <c r="G508" s="1">
        <v>0.03</v>
      </c>
      <c r="H508" s="1">
        <v>0</v>
      </c>
      <c r="I508" s="1">
        <v>-0.67200000000000004</v>
      </c>
      <c r="J508" s="1"/>
      <c r="K508" s="1"/>
      <c r="L508" s="1">
        <v>8.91</v>
      </c>
      <c r="M508" s="1" t="s">
        <v>25</v>
      </c>
      <c r="N508" s="3" t="s">
        <v>1514</v>
      </c>
      <c r="O508" s="1"/>
    </row>
  </sheetData>
  <hyperlinks>
    <hyperlink ref="N338" r:id="rId1" xr:uid="{00000000-0004-0000-0000-000000000000}"/>
    <hyperlink ref="N339" r:id="rId2" xr:uid="{00000000-0004-0000-0000-000001000000}"/>
    <hyperlink ref="N456" r:id="rId3" xr:uid="{00000000-0004-0000-0000-000002000000}"/>
    <hyperlink ref="N469" r:id="rId4" xr:uid="{00000000-0004-0000-0000-000003000000}"/>
    <hyperlink ref="N411" r:id="rId5" xr:uid="{00000000-0004-0000-0000-000004000000}"/>
    <hyperlink ref="N62" r:id="rId6" xr:uid="{00000000-0004-0000-0000-000005000000}"/>
    <hyperlink ref="N119" r:id="rId7" xr:uid="{00000000-0004-0000-0000-000006000000}"/>
    <hyperlink ref="N9" r:id="rId8" xr:uid="{00000000-0004-0000-0000-000007000000}"/>
    <hyperlink ref="N79" r:id="rId9" xr:uid="{00000000-0004-0000-0000-000008000000}"/>
    <hyperlink ref="N397" r:id="rId10" xr:uid="{00000000-0004-0000-0000-000009000000}"/>
    <hyperlink ref="N52" r:id="rId11" xr:uid="{00000000-0004-0000-0000-00000A000000}"/>
    <hyperlink ref="N51" r:id="rId12" xr:uid="{00000000-0004-0000-0000-00000B000000}"/>
    <hyperlink ref="N260" r:id="rId13" xr:uid="{00000000-0004-0000-0000-00000C000000}"/>
    <hyperlink ref="N412" r:id="rId14" xr:uid="{00000000-0004-0000-0000-00000D000000}"/>
    <hyperlink ref="N18" r:id="rId15" xr:uid="{00000000-0004-0000-0000-00000E000000}"/>
    <hyperlink ref="N424" r:id="rId16" xr:uid="{00000000-0004-0000-0000-00000F000000}"/>
    <hyperlink ref="N314" r:id="rId17" xr:uid="{00000000-0004-0000-0000-000010000000}"/>
    <hyperlink ref="N468" r:id="rId18" xr:uid="{00000000-0004-0000-0000-000011000000}"/>
    <hyperlink ref="N203" r:id="rId19" xr:uid="{00000000-0004-0000-0000-000012000000}"/>
    <hyperlink ref="N417" r:id="rId20" xr:uid="{00000000-0004-0000-0000-000013000000}"/>
  </hyperlinks>
  <pageMargins left="0.7" right="0.7" top="0.75" bottom="0.75" header="0.3" footer="0.3"/>
  <pageSetup paperSize="9" orientation="portrait" r:id="rId21"/>
  <tableParts count="1">
    <tablePart r:id="rId2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8E887-B0C6-4B1E-B080-2E6AEDACD257}">
  <dimension ref="A1:D492"/>
  <sheetViews>
    <sheetView topLeftCell="A3" zoomScale="115" zoomScaleNormal="115" workbookViewId="0">
      <selection activeCell="A36" sqref="A36"/>
    </sheetView>
  </sheetViews>
  <sheetFormatPr defaultColWidth="11.5703125" defaultRowHeight="12.75" x14ac:dyDescent="0.2"/>
  <cols>
    <col min="1" max="1" width="82" style="21" customWidth="1"/>
    <col min="2" max="2" width="72.42578125" style="21" customWidth="1"/>
    <col min="3" max="3" width="35" style="21" customWidth="1"/>
    <col min="4" max="4" width="4.28515625" style="21" customWidth="1"/>
    <col min="5" max="16384" width="11.5703125" style="21"/>
  </cols>
  <sheetData>
    <row r="1" spans="1:4" x14ac:dyDescent="0.2">
      <c r="A1" s="21" t="s">
        <v>1711</v>
      </c>
      <c r="B1" s="21" t="s">
        <v>1712</v>
      </c>
      <c r="C1" s="21" t="s">
        <v>1713</v>
      </c>
      <c r="D1" s="21" t="s">
        <v>1714</v>
      </c>
    </row>
    <row r="2" spans="1:4" x14ac:dyDescent="0.2">
      <c r="A2" s="21" t="s">
        <v>417</v>
      </c>
      <c r="B2" s="21" t="s">
        <v>1715</v>
      </c>
      <c r="C2" s="21" t="s">
        <v>1716</v>
      </c>
    </row>
    <row r="3" spans="1:4" x14ac:dyDescent="0.2">
      <c r="A3" s="21" t="s">
        <v>1199</v>
      </c>
      <c r="B3" s="21" t="s">
        <v>1717</v>
      </c>
      <c r="C3" s="21" t="s">
        <v>1718</v>
      </c>
    </row>
    <row r="4" spans="1:4" x14ac:dyDescent="0.2">
      <c r="A4" s="21" t="s">
        <v>236</v>
      </c>
      <c r="C4" s="21" t="s">
        <v>1719</v>
      </c>
    </row>
    <row r="5" spans="1:4" x14ac:dyDescent="0.2">
      <c r="A5" s="21" t="s">
        <v>230</v>
      </c>
      <c r="C5" s="21" t="s">
        <v>1720</v>
      </c>
    </row>
    <row r="6" spans="1:4" x14ac:dyDescent="0.2">
      <c r="A6" s="21" t="s">
        <v>331</v>
      </c>
      <c r="C6" s="21" t="s">
        <v>1721</v>
      </c>
    </row>
    <row r="7" spans="1:4" x14ac:dyDescent="0.2">
      <c r="A7" s="21" t="s">
        <v>244</v>
      </c>
      <c r="C7" s="21" t="s">
        <v>1722</v>
      </c>
    </row>
    <row r="8" spans="1:4" x14ac:dyDescent="0.2">
      <c r="A8" s="21" t="s">
        <v>242</v>
      </c>
      <c r="C8" s="21" t="s">
        <v>1723</v>
      </c>
    </row>
    <row r="9" spans="1:4" x14ac:dyDescent="0.2">
      <c r="A9" s="21" t="s">
        <v>200</v>
      </c>
      <c r="C9" s="21" t="s">
        <v>1724</v>
      </c>
    </row>
    <row r="10" spans="1:4" x14ac:dyDescent="0.2">
      <c r="A10" s="21" t="s">
        <v>232</v>
      </c>
      <c r="C10" s="21" t="s">
        <v>1725</v>
      </c>
    </row>
    <row r="11" spans="1:4" x14ac:dyDescent="0.2">
      <c r="A11" s="21" t="s">
        <v>234</v>
      </c>
      <c r="C11" s="21" t="s">
        <v>1726</v>
      </c>
    </row>
    <row r="12" spans="1:4" x14ac:dyDescent="0.2">
      <c r="A12" s="21" t="s">
        <v>1469</v>
      </c>
      <c r="B12" s="21" t="s">
        <v>1727</v>
      </c>
      <c r="C12" s="21" t="s">
        <v>1728</v>
      </c>
    </row>
    <row r="13" spans="1:4" x14ac:dyDescent="0.2">
      <c r="A13" s="21" t="s">
        <v>862</v>
      </c>
      <c r="B13" s="21" t="s">
        <v>1729</v>
      </c>
      <c r="C13" s="21" t="s">
        <v>1730</v>
      </c>
    </row>
    <row r="14" spans="1:4" x14ac:dyDescent="0.2">
      <c r="A14" s="21" t="s">
        <v>1457</v>
      </c>
      <c r="B14" s="21" t="s">
        <v>1731</v>
      </c>
      <c r="C14" s="21" t="s">
        <v>1732</v>
      </c>
    </row>
    <row r="15" spans="1:4" x14ac:dyDescent="0.2">
      <c r="A15" s="21" t="s">
        <v>1475</v>
      </c>
      <c r="B15" s="21" t="s">
        <v>1733</v>
      </c>
      <c r="C15" s="21" t="s">
        <v>1734</v>
      </c>
    </row>
    <row r="16" spans="1:4" x14ac:dyDescent="0.2">
      <c r="A16" s="21" t="s">
        <v>1461</v>
      </c>
      <c r="B16" s="21" t="s">
        <v>1735</v>
      </c>
      <c r="C16" s="21" t="s">
        <v>1736</v>
      </c>
    </row>
    <row r="17" spans="1:3" x14ac:dyDescent="0.2">
      <c r="A17" s="21" t="s">
        <v>382</v>
      </c>
      <c r="C17" s="21" t="s">
        <v>1737</v>
      </c>
    </row>
    <row r="18" spans="1:3" x14ac:dyDescent="0.2">
      <c r="A18" s="21" t="s">
        <v>489</v>
      </c>
      <c r="B18" s="21" t="s">
        <v>1738</v>
      </c>
      <c r="C18" s="21" t="s">
        <v>1739</v>
      </c>
    </row>
    <row r="19" spans="1:3" x14ac:dyDescent="0.2">
      <c r="A19" s="21" t="s">
        <v>358</v>
      </c>
      <c r="C19" s="21" t="s">
        <v>1740</v>
      </c>
    </row>
    <row r="20" spans="1:3" x14ac:dyDescent="0.2">
      <c r="A20" s="21" t="s">
        <v>1238</v>
      </c>
      <c r="B20" s="21" t="s">
        <v>1741</v>
      </c>
      <c r="C20" s="21" t="s">
        <v>1742</v>
      </c>
    </row>
    <row r="21" spans="1:3" x14ac:dyDescent="0.2">
      <c r="A21" s="21" t="s">
        <v>1215</v>
      </c>
      <c r="B21" s="21" t="s">
        <v>1743</v>
      </c>
      <c r="C21" s="21" t="s">
        <v>1744</v>
      </c>
    </row>
    <row r="22" spans="1:3" x14ac:dyDescent="0.2">
      <c r="A22" s="21" t="s">
        <v>1203</v>
      </c>
      <c r="B22" s="21" t="s">
        <v>1745</v>
      </c>
      <c r="C22" s="21" t="s">
        <v>1746</v>
      </c>
    </row>
    <row r="23" spans="1:3" x14ac:dyDescent="0.2">
      <c r="A23" s="21" t="s">
        <v>1333</v>
      </c>
      <c r="B23" s="21" t="s">
        <v>1747</v>
      </c>
      <c r="C23" s="21" t="s">
        <v>1748</v>
      </c>
    </row>
    <row r="24" spans="1:3" x14ac:dyDescent="0.2">
      <c r="A24" s="21" t="s">
        <v>238</v>
      </c>
      <c r="C24" s="21" t="s">
        <v>1749</v>
      </c>
    </row>
    <row r="25" spans="1:3" x14ac:dyDescent="0.2">
      <c r="A25" s="21" t="s">
        <v>42</v>
      </c>
      <c r="C25" s="21" t="s">
        <v>1750</v>
      </c>
    </row>
    <row r="26" spans="1:3" x14ac:dyDescent="0.2">
      <c r="A26" s="21" t="s">
        <v>56</v>
      </c>
      <c r="C26" s="21" t="s">
        <v>1751</v>
      </c>
    </row>
    <row r="27" spans="1:3" x14ac:dyDescent="0.2">
      <c r="A27" s="21" t="s">
        <v>54</v>
      </c>
      <c r="C27" s="21" t="s">
        <v>1752</v>
      </c>
    </row>
    <row r="28" spans="1:3" x14ac:dyDescent="0.2">
      <c r="A28" s="21" t="s">
        <v>1105</v>
      </c>
      <c r="B28" s="21" t="s">
        <v>1753</v>
      </c>
      <c r="C28" s="21" t="s">
        <v>1754</v>
      </c>
    </row>
    <row r="29" spans="1:3" x14ac:dyDescent="0.2">
      <c r="A29" s="21" t="s">
        <v>521</v>
      </c>
      <c r="B29" s="21" t="s">
        <v>1755</v>
      </c>
      <c r="C29" s="21" t="s">
        <v>1756</v>
      </c>
    </row>
    <row r="30" spans="1:3" x14ac:dyDescent="0.2">
      <c r="A30" s="21" t="s">
        <v>162</v>
      </c>
      <c r="C30" s="21" t="s">
        <v>1757</v>
      </c>
    </row>
    <row r="31" spans="1:3" x14ac:dyDescent="0.2">
      <c r="A31" s="21" t="s">
        <v>730</v>
      </c>
      <c r="B31" s="21" t="s">
        <v>1758</v>
      </c>
      <c r="C31" s="21" t="s">
        <v>1759</v>
      </c>
    </row>
    <row r="32" spans="1:3" x14ac:dyDescent="0.2">
      <c r="A32" s="21" t="s">
        <v>1322</v>
      </c>
      <c r="B32" s="21" t="s">
        <v>1760</v>
      </c>
      <c r="C32" s="21" t="s">
        <v>1761</v>
      </c>
    </row>
    <row r="33" spans="1:3" x14ac:dyDescent="0.2">
      <c r="A33" s="21" t="s">
        <v>677</v>
      </c>
      <c r="B33" s="21" t="s">
        <v>1762</v>
      </c>
      <c r="C33" s="21" t="s">
        <v>1763</v>
      </c>
    </row>
    <row r="34" spans="1:3" x14ac:dyDescent="0.2">
      <c r="A34" s="21" t="s">
        <v>471</v>
      </c>
      <c r="B34" s="21" t="s">
        <v>1764</v>
      </c>
      <c r="C34" s="21" t="s">
        <v>1765</v>
      </c>
    </row>
    <row r="35" spans="1:3" x14ac:dyDescent="0.2">
      <c r="A35" s="21" t="s">
        <v>689</v>
      </c>
      <c r="B35" s="21" t="s">
        <v>1766</v>
      </c>
      <c r="C35" s="21" t="s">
        <v>1767</v>
      </c>
    </row>
    <row r="36" spans="1:3" x14ac:dyDescent="0.2">
      <c r="A36" s="21" t="s">
        <v>440</v>
      </c>
      <c r="B36" s="21" t="s">
        <v>1768</v>
      </c>
      <c r="C36" s="21" t="s">
        <v>1769</v>
      </c>
    </row>
    <row r="37" spans="1:3" x14ac:dyDescent="0.2">
      <c r="A37" s="21" t="s">
        <v>1422</v>
      </c>
      <c r="B37" s="21" t="s">
        <v>1770</v>
      </c>
      <c r="C37" s="21" t="s">
        <v>1771</v>
      </c>
    </row>
    <row r="38" spans="1:3" x14ac:dyDescent="0.2">
      <c r="A38" s="21" t="s">
        <v>1302</v>
      </c>
      <c r="B38" s="21" t="s">
        <v>1772</v>
      </c>
      <c r="C38" s="21" t="s">
        <v>1773</v>
      </c>
    </row>
    <row r="39" spans="1:3" x14ac:dyDescent="0.2">
      <c r="A39" s="21" t="s">
        <v>1387</v>
      </c>
      <c r="B39" s="21" t="s">
        <v>1774</v>
      </c>
      <c r="C39" s="21" t="s">
        <v>1775</v>
      </c>
    </row>
    <row r="40" spans="1:3" x14ac:dyDescent="0.2">
      <c r="A40" s="21" t="s">
        <v>716</v>
      </c>
      <c r="B40" s="21" t="s">
        <v>1776</v>
      </c>
      <c r="C40" s="21" t="s">
        <v>1777</v>
      </c>
    </row>
    <row r="41" spans="1:3" x14ac:dyDescent="0.2">
      <c r="A41" s="21" t="s">
        <v>568</v>
      </c>
      <c r="B41" s="21" t="s">
        <v>1778</v>
      </c>
      <c r="C41" s="21" t="s">
        <v>1779</v>
      </c>
    </row>
    <row r="42" spans="1:3" x14ac:dyDescent="0.2">
      <c r="A42" s="21" t="s">
        <v>692</v>
      </c>
      <c r="B42" s="21" t="s">
        <v>1780</v>
      </c>
      <c r="C42" s="21" t="s">
        <v>1781</v>
      </c>
    </row>
    <row r="43" spans="1:3" x14ac:dyDescent="0.2">
      <c r="A43" s="21" t="s">
        <v>531</v>
      </c>
      <c r="B43" s="21" t="s">
        <v>1782</v>
      </c>
      <c r="C43" s="21" t="s">
        <v>1783</v>
      </c>
    </row>
    <row r="44" spans="1:3" x14ac:dyDescent="0.2">
      <c r="A44" s="21" t="s">
        <v>695</v>
      </c>
      <c r="B44" s="21" t="s">
        <v>1784</v>
      </c>
      <c r="C44" s="21" t="s">
        <v>1785</v>
      </c>
    </row>
    <row r="45" spans="1:3" x14ac:dyDescent="0.2">
      <c r="A45" s="21" t="s">
        <v>527</v>
      </c>
      <c r="B45" s="21" t="s">
        <v>1786</v>
      </c>
      <c r="C45" s="21" t="s">
        <v>1787</v>
      </c>
    </row>
    <row r="46" spans="1:3" x14ac:dyDescent="0.2">
      <c r="A46" s="21" t="s">
        <v>604</v>
      </c>
      <c r="B46" s="21" t="s">
        <v>1788</v>
      </c>
      <c r="C46" s="21" t="s">
        <v>1789</v>
      </c>
    </row>
    <row r="47" spans="1:3" x14ac:dyDescent="0.2">
      <c r="A47" s="21" t="s">
        <v>468</v>
      </c>
      <c r="B47" s="21" t="s">
        <v>1790</v>
      </c>
      <c r="C47" s="21" t="s">
        <v>1791</v>
      </c>
    </row>
    <row r="48" spans="1:3" x14ac:dyDescent="0.2">
      <c r="A48" s="21" t="s">
        <v>826</v>
      </c>
      <c r="B48" s="21" t="s">
        <v>1792</v>
      </c>
      <c r="C48" s="21" t="s">
        <v>1793</v>
      </c>
    </row>
    <row r="49" spans="1:3" x14ac:dyDescent="0.2">
      <c r="A49" s="21" t="s">
        <v>433</v>
      </c>
      <c r="B49" s="21" t="s">
        <v>1794</v>
      </c>
      <c r="C49" s="21" t="s">
        <v>1795</v>
      </c>
    </row>
    <row r="50" spans="1:3" x14ac:dyDescent="0.2">
      <c r="A50" s="21" t="s">
        <v>752</v>
      </c>
      <c r="B50" s="21" t="s">
        <v>1796</v>
      </c>
      <c r="C50" s="21" t="s">
        <v>1797</v>
      </c>
    </row>
    <row r="51" spans="1:3" x14ac:dyDescent="0.2">
      <c r="A51" s="21" t="s">
        <v>403</v>
      </c>
      <c r="B51" s="21" t="s">
        <v>1798</v>
      </c>
      <c r="C51" s="21" t="s">
        <v>1799</v>
      </c>
    </row>
    <row r="52" spans="1:3" x14ac:dyDescent="0.2">
      <c r="A52" s="21" t="s">
        <v>1697</v>
      </c>
      <c r="B52" s="21" t="s">
        <v>1800</v>
      </c>
      <c r="C52" s="21" t="s">
        <v>1801</v>
      </c>
    </row>
    <row r="53" spans="1:3" x14ac:dyDescent="0.2">
      <c r="A53" s="21" t="s">
        <v>378</v>
      </c>
      <c r="C53" s="21" t="s">
        <v>1802</v>
      </c>
    </row>
    <row r="54" spans="1:3" x14ac:dyDescent="0.2">
      <c r="A54" s="21" t="s">
        <v>380</v>
      </c>
      <c r="C54" s="21" t="s">
        <v>1803</v>
      </c>
    </row>
    <row r="55" spans="1:3" x14ac:dyDescent="0.2">
      <c r="A55" s="21" t="s">
        <v>1067</v>
      </c>
      <c r="B55" s="21" t="s">
        <v>1804</v>
      </c>
      <c r="C55" s="21" t="s">
        <v>1805</v>
      </c>
    </row>
    <row r="56" spans="1:3" x14ac:dyDescent="0.2">
      <c r="A56" s="21" t="s">
        <v>1345</v>
      </c>
      <c r="B56" s="21" t="s">
        <v>1806</v>
      </c>
      <c r="C56" s="21" t="s">
        <v>1807</v>
      </c>
    </row>
    <row r="57" spans="1:3" x14ac:dyDescent="0.2">
      <c r="A57" s="21" t="s">
        <v>1383</v>
      </c>
      <c r="B57" s="21" t="s">
        <v>1808</v>
      </c>
      <c r="C57" s="21" t="s">
        <v>1809</v>
      </c>
    </row>
    <row r="58" spans="1:3" x14ac:dyDescent="0.2">
      <c r="A58" s="21" t="s">
        <v>1329</v>
      </c>
      <c r="B58" s="21" t="s">
        <v>1810</v>
      </c>
      <c r="C58" s="21" t="s">
        <v>1811</v>
      </c>
    </row>
    <row r="59" spans="1:3" x14ac:dyDescent="0.2">
      <c r="A59" s="21" t="s">
        <v>16</v>
      </c>
      <c r="B59" s="21" t="s">
        <v>1812</v>
      </c>
      <c r="C59" s="21" t="s">
        <v>1813</v>
      </c>
    </row>
    <row r="60" spans="1:3" x14ac:dyDescent="0.2">
      <c r="A60" s="21" t="s">
        <v>937</v>
      </c>
      <c r="B60" s="21" t="s">
        <v>1814</v>
      </c>
      <c r="C60" s="21" t="s">
        <v>1815</v>
      </c>
    </row>
    <row r="61" spans="1:3" x14ac:dyDescent="0.2">
      <c r="A61" s="21" t="s">
        <v>975</v>
      </c>
      <c r="B61" s="21" t="s">
        <v>1816</v>
      </c>
      <c r="C61" s="21" t="s">
        <v>1817</v>
      </c>
    </row>
    <row r="62" spans="1:3" x14ac:dyDescent="0.2">
      <c r="A62" s="21" t="s">
        <v>795</v>
      </c>
      <c r="B62" s="21" t="s">
        <v>1818</v>
      </c>
      <c r="C62" s="21" t="s">
        <v>1819</v>
      </c>
    </row>
    <row r="63" spans="1:3" x14ac:dyDescent="0.2">
      <c r="A63" s="21" t="s">
        <v>802</v>
      </c>
      <c r="B63" s="21" t="s">
        <v>1820</v>
      </c>
      <c r="C63" s="21" t="s">
        <v>1821</v>
      </c>
    </row>
    <row r="64" spans="1:3" x14ac:dyDescent="0.2">
      <c r="A64" s="21" t="s">
        <v>829</v>
      </c>
      <c r="B64" s="21" t="s">
        <v>1822</v>
      </c>
      <c r="C64" s="21" t="s">
        <v>1823</v>
      </c>
    </row>
    <row r="65" spans="1:3" x14ac:dyDescent="0.2">
      <c r="A65" s="21" t="s">
        <v>850</v>
      </c>
      <c r="B65" s="21" t="s">
        <v>1824</v>
      </c>
      <c r="C65" s="21" t="s">
        <v>1825</v>
      </c>
    </row>
    <row r="66" spans="1:3" x14ac:dyDescent="0.2">
      <c r="A66" s="21" t="s">
        <v>1009</v>
      </c>
      <c r="B66" s="21" t="s">
        <v>1826</v>
      </c>
      <c r="C66" s="21" t="s">
        <v>1827</v>
      </c>
    </row>
    <row r="67" spans="1:3" x14ac:dyDescent="0.2">
      <c r="A67" s="21" t="s">
        <v>1223</v>
      </c>
      <c r="B67" s="21" t="s">
        <v>1828</v>
      </c>
      <c r="C67" s="21" t="s">
        <v>1829</v>
      </c>
    </row>
    <row r="68" spans="1:3" x14ac:dyDescent="0.2">
      <c r="A68" s="21" t="s">
        <v>611</v>
      </c>
      <c r="B68" s="21" t="s">
        <v>1830</v>
      </c>
      <c r="C68" s="21" t="s">
        <v>1831</v>
      </c>
    </row>
    <row r="69" spans="1:3" x14ac:dyDescent="0.2">
      <c r="A69" s="21" t="s">
        <v>1231</v>
      </c>
      <c r="B69" s="21" t="s">
        <v>1832</v>
      </c>
      <c r="C69" s="21" t="s">
        <v>1833</v>
      </c>
    </row>
    <row r="70" spans="1:3" x14ac:dyDescent="0.2">
      <c r="A70" s="21" t="s">
        <v>954</v>
      </c>
      <c r="B70" s="21" t="s">
        <v>1834</v>
      </c>
      <c r="C70" s="21" t="s">
        <v>1835</v>
      </c>
    </row>
    <row r="71" spans="1:3" x14ac:dyDescent="0.2">
      <c r="A71" s="21" t="s">
        <v>1154</v>
      </c>
      <c r="B71" s="21" t="s">
        <v>1836</v>
      </c>
      <c r="C71" s="21" t="s">
        <v>1837</v>
      </c>
    </row>
    <row r="72" spans="1:3" x14ac:dyDescent="0.2">
      <c r="A72" s="21" t="s">
        <v>748</v>
      </c>
      <c r="B72" s="21" t="s">
        <v>1838</v>
      </c>
      <c r="C72" s="21" t="s">
        <v>1839</v>
      </c>
    </row>
    <row r="73" spans="1:3" x14ac:dyDescent="0.2">
      <c r="A73" s="21" t="s">
        <v>755</v>
      </c>
      <c r="B73" s="21" t="s">
        <v>1840</v>
      </c>
      <c r="C73" s="21" t="s">
        <v>1841</v>
      </c>
    </row>
    <row r="74" spans="1:3" x14ac:dyDescent="0.2">
      <c r="A74" s="21" t="s">
        <v>1701</v>
      </c>
      <c r="C74" s="21" t="s">
        <v>1842</v>
      </c>
    </row>
    <row r="75" spans="1:3" x14ac:dyDescent="0.2">
      <c r="A75" s="21" t="s">
        <v>1702</v>
      </c>
      <c r="C75" s="21" t="s">
        <v>1843</v>
      </c>
    </row>
    <row r="76" spans="1:3" x14ac:dyDescent="0.2">
      <c r="A76" s="21" t="s">
        <v>1703</v>
      </c>
      <c r="C76" s="21" t="s">
        <v>1844</v>
      </c>
    </row>
    <row r="77" spans="1:3" x14ac:dyDescent="0.2">
      <c r="A77" s="21" t="s">
        <v>1698</v>
      </c>
      <c r="C77" s="21" t="s">
        <v>1845</v>
      </c>
    </row>
    <row r="78" spans="1:3" x14ac:dyDescent="0.2">
      <c r="A78" s="21" t="s">
        <v>1699</v>
      </c>
      <c r="C78" s="21" t="s">
        <v>1846</v>
      </c>
    </row>
    <row r="79" spans="1:3" x14ac:dyDescent="0.2">
      <c r="A79" s="21" t="s">
        <v>1700</v>
      </c>
      <c r="C79" s="21" t="s">
        <v>1847</v>
      </c>
    </row>
    <row r="80" spans="1:3" x14ac:dyDescent="0.2">
      <c r="A80" s="21" t="s">
        <v>921</v>
      </c>
      <c r="B80" s="21" t="s">
        <v>1848</v>
      </c>
      <c r="C80" s="21" t="s">
        <v>1849</v>
      </c>
    </row>
    <row r="81" spans="1:3" x14ac:dyDescent="0.2">
      <c r="A81" s="21" t="s">
        <v>941</v>
      </c>
      <c r="B81" s="21" t="s">
        <v>1850</v>
      </c>
      <c r="C81" s="21" t="s">
        <v>1851</v>
      </c>
    </row>
    <row r="82" spans="1:3" x14ac:dyDescent="0.2">
      <c r="A82" s="21" t="s">
        <v>1002</v>
      </c>
      <c r="B82" s="21" t="s">
        <v>1852</v>
      </c>
      <c r="C82" s="21" t="s">
        <v>1853</v>
      </c>
    </row>
    <row r="83" spans="1:3" x14ac:dyDescent="0.2">
      <c r="A83" s="21" t="s">
        <v>924</v>
      </c>
      <c r="B83" s="21" t="s">
        <v>1854</v>
      </c>
      <c r="C83" s="21" t="s">
        <v>1855</v>
      </c>
    </row>
    <row r="84" spans="1:3" x14ac:dyDescent="0.2">
      <c r="A84" s="21" t="s">
        <v>927</v>
      </c>
      <c r="B84" s="21" t="s">
        <v>1856</v>
      </c>
      <c r="C84" s="21" t="s">
        <v>1857</v>
      </c>
    </row>
    <row r="85" spans="1:3" x14ac:dyDescent="0.2">
      <c r="A85" s="21" t="s">
        <v>930</v>
      </c>
      <c r="B85" s="21" t="s">
        <v>1858</v>
      </c>
      <c r="C85" s="21" t="s">
        <v>1859</v>
      </c>
    </row>
    <row r="86" spans="1:3" x14ac:dyDescent="0.2">
      <c r="A86" s="21" t="s">
        <v>947</v>
      </c>
      <c r="B86" s="21" t="s">
        <v>1860</v>
      </c>
      <c r="C86" s="21" t="s">
        <v>1861</v>
      </c>
    </row>
    <row r="87" spans="1:3" x14ac:dyDescent="0.2">
      <c r="A87" s="21" t="s">
        <v>595</v>
      </c>
      <c r="B87" s="21" t="s">
        <v>1862</v>
      </c>
      <c r="C87" s="21" t="s">
        <v>1863</v>
      </c>
    </row>
    <row r="88" spans="1:3" x14ac:dyDescent="0.2">
      <c r="A88" s="21" t="s">
        <v>461</v>
      </c>
      <c r="B88" s="21" t="s">
        <v>1864</v>
      </c>
      <c r="C88" s="21" t="s">
        <v>1865</v>
      </c>
    </row>
    <row r="89" spans="1:3" x14ac:dyDescent="0.2">
      <c r="A89" s="21" t="s">
        <v>1278</v>
      </c>
      <c r="B89" s="21" t="s">
        <v>1866</v>
      </c>
      <c r="C89" s="21" t="s">
        <v>1867</v>
      </c>
    </row>
    <row r="90" spans="1:3" x14ac:dyDescent="0.2">
      <c r="A90" s="21" t="s">
        <v>1290</v>
      </c>
      <c r="B90" s="21" t="s">
        <v>1868</v>
      </c>
      <c r="C90" s="21" t="s">
        <v>1869</v>
      </c>
    </row>
    <row r="91" spans="1:3" x14ac:dyDescent="0.2">
      <c r="A91" s="21" t="s">
        <v>374</v>
      </c>
      <c r="C91" s="21" t="s">
        <v>1870</v>
      </c>
    </row>
    <row r="92" spans="1:3" x14ac:dyDescent="0.2">
      <c r="A92" s="21" t="s">
        <v>1298</v>
      </c>
      <c r="B92" s="21" t="s">
        <v>1871</v>
      </c>
      <c r="C92" s="21" t="s">
        <v>1872</v>
      </c>
    </row>
    <row r="93" spans="1:3" x14ac:dyDescent="0.2">
      <c r="A93" s="21" t="s">
        <v>1368</v>
      </c>
      <c r="B93" s="21" t="s">
        <v>1873</v>
      </c>
      <c r="C93" s="21" t="s">
        <v>1874</v>
      </c>
    </row>
    <row r="94" spans="1:3" x14ac:dyDescent="0.2">
      <c r="A94" s="21" t="s">
        <v>143</v>
      </c>
      <c r="C94" s="21" t="s">
        <v>1875</v>
      </c>
    </row>
    <row r="95" spans="1:3" x14ac:dyDescent="0.2">
      <c r="A95" s="21" t="s">
        <v>97</v>
      </c>
      <c r="C95" s="21" t="s">
        <v>1876</v>
      </c>
    </row>
    <row r="96" spans="1:3" x14ac:dyDescent="0.2">
      <c r="A96" s="21" t="s">
        <v>103</v>
      </c>
      <c r="C96" s="21" t="s">
        <v>1877</v>
      </c>
    </row>
    <row r="97" spans="1:3" x14ac:dyDescent="0.2">
      <c r="A97" s="21" t="s">
        <v>108</v>
      </c>
      <c r="C97" s="21" t="s">
        <v>1878</v>
      </c>
    </row>
    <row r="98" spans="1:3" x14ac:dyDescent="0.2">
      <c r="A98" s="21" t="s">
        <v>110</v>
      </c>
      <c r="C98" s="21" t="s">
        <v>1879</v>
      </c>
    </row>
    <row r="99" spans="1:3" x14ac:dyDescent="0.2">
      <c r="A99" s="21" t="s">
        <v>105</v>
      </c>
      <c r="C99" s="21" t="s">
        <v>1880</v>
      </c>
    </row>
    <row r="100" spans="1:3" x14ac:dyDescent="0.2">
      <c r="A100" s="21" t="s">
        <v>113</v>
      </c>
      <c r="C100" s="21" t="s">
        <v>1881</v>
      </c>
    </row>
    <row r="101" spans="1:3" x14ac:dyDescent="0.2">
      <c r="A101" s="21" t="s">
        <v>119</v>
      </c>
      <c r="C101" s="21" t="s">
        <v>1882</v>
      </c>
    </row>
    <row r="102" spans="1:3" x14ac:dyDescent="0.2">
      <c r="A102" s="21" t="s">
        <v>115</v>
      </c>
      <c r="C102" s="21" t="s">
        <v>1883</v>
      </c>
    </row>
    <row r="103" spans="1:3" x14ac:dyDescent="0.2">
      <c r="A103" s="21" t="s">
        <v>117</v>
      </c>
      <c r="C103" s="21" t="s">
        <v>1884</v>
      </c>
    </row>
    <row r="104" spans="1:3" x14ac:dyDescent="0.2">
      <c r="A104" s="21" t="s">
        <v>100</v>
      </c>
      <c r="C104" s="21" t="s">
        <v>1885</v>
      </c>
    </row>
    <row r="105" spans="1:3" x14ac:dyDescent="0.2">
      <c r="A105" s="21" t="s">
        <v>1102</v>
      </c>
      <c r="B105" s="21" t="s">
        <v>1886</v>
      </c>
      <c r="C105" s="21" t="s">
        <v>1887</v>
      </c>
    </row>
    <row r="106" spans="1:3" x14ac:dyDescent="0.2">
      <c r="A106" s="21" t="s">
        <v>275</v>
      </c>
      <c r="C106" s="21" t="s">
        <v>1888</v>
      </c>
    </row>
    <row r="107" spans="1:3" x14ac:dyDescent="0.2">
      <c r="A107" s="21" t="s">
        <v>352</v>
      </c>
      <c r="C107" s="21" t="s">
        <v>1889</v>
      </c>
    </row>
    <row r="108" spans="1:3" x14ac:dyDescent="0.2">
      <c r="A108" s="21" t="s">
        <v>216</v>
      </c>
      <c r="C108" s="21" t="s">
        <v>1890</v>
      </c>
    </row>
    <row r="109" spans="1:3" x14ac:dyDescent="0.2">
      <c r="A109" s="21" t="s">
        <v>872</v>
      </c>
      <c r="B109" s="21" t="s">
        <v>1891</v>
      </c>
      <c r="C109" s="21" t="s">
        <v>1892</v>
      </c>
    </row>
    <row r="110" spans="1:3" x14ac:dyDescent="0.2">
      <c r="A110" s="21" t="s">
        <v>350</v>
      </c>
      <c r="C110" s="21" t="s">
        <v>1893</v>
      </c>
    </row>
    <row r="111" spans="1:3" x14ac:dyDescent="0.2">
      <c r="A111" s="21" t="s">
        <v>146</v>
      </c>
      <c r="C111" s="21" t="s">
        <v>1894</v>
      </c>
    </row>
    <row r="112" spans="1:3" x14ac:dyDescent="0.2">
      <c r="A112" s="21" t="s">
        <v>396</v>
      </c>
      <c r="B112" s="21" t="s">
        <v>1895</v>
      </c>
      <c r="C112" s="21" t="s">
        <v>1896</v>
      </c>
    </row>
    <row r="113" spans="1:3" x14ac:dyDescent="0.2">
      <c r="A113" s="21" t="s">
        <v>152</v>
      </c>
      <c r="C113" s="21" t="s">
        <v>1897</v>
      </c>
    </row>
    <row r="114" spans="1:3" x14ac:dyDescent="0.2">
      <c r="A114" s="21" t="s">
        <v>338</v>
      </c>
      <c r="C114" s="21" t="s">
        <v>1898</v>
      </c>
    </row>
    <row r="115" spans="1:3" x14ac:dyDescent="0.2">
      <c r="A115" s="21" t="s">
        <v>883</v>
      </c>
      <c r="B115" s="21" t="s">
        <v>1899</v>
      </c>
      <c r="C115" s="21" t="s">
        <v>1900</v>
      </c>
    </row>
    <row r="116" spans="1:3" x14ac:dyDescent="0.2">
      <c r="A116" s="21" t="s">
        <v>891</v>
      </c>
      <c r="B116" s="21" t="s">
        <v>1901</v>
      </c>
      <c r="C116" s="21" t="s">
        <v>1902</v>
      </c>
    </row>
    <row r="117" spans="1:3" x14ac:dyDescent="0.2">
      <c r="A117" s="21" t="s">
        <v>131</v>
      </c>
      <c r="C117" s="21" t="s">
        <v>1903</v>
      </c>
    </row>
    <row r="118" spans="1:3" x14ac:dyDescent="0.2">
      <c r="A118" s="21" t="s">
        <v>887</v>
      </c>
      <c r="B118" s="21" t="s">
        <v>1904</v>
      </c>
      <c r="C118" s="21" t="s">
        <v>1905</v>
      </c>
    </row>
    <row r="119" spans="1:3" x14ac:dyDescent="0.2">
      <c r="A119" s="21" t="s">
        <v>348</v>
      </c>
      <c r="C119" s="21" t="s">
        <v>1906</v>
      </c>
    </row>
    <row r="120" spans="1:3" x14ac:dyDescent="0.2">
      <c r="A120" s="21" t="s">
        <v>368</v>
      </c>
      <c r="C120" s="21" t="s">
        <v>1907</v>
      </c>
    </row>
    <row r="121" spans="1:3" x14ac:dyDescent="0.2">
      <c r="A121" s="21" t="s">
        <v>1294</v>
      </c>
      <c r="B121" s="21" t="s">
        <v>1908</v>
      </c>
      <c r="C121" s="21" t="s">
        <v>1909</v>
      </c>
    </row>
    <row r="122" spans="1:3" x14ac:dyDescent="0.2">
      <c r="A122" s="21" t="s">
        <v>1440</v>
      </c>
      <c r="B122" s="21" t="s">
        <v>1910</v>
      </c>
      <c r="C122" s="21" t="s">
        <v>1911</v>
      </c>
    </row>
    <row r="123" spans="1:3" x14ac:dyDescent="0.2">
      <c r="A123" s="21" t="s">
        <v>1357</v>
      </c>
      <c r="B123" s="21" t="s">
        <v>1912</v>
      </c>
      <c r="C123" s="21" t="s">
        <v>1913</v>
      </c>
    </row>
    <row r="124" spans="1:3" x14ac:dyDescent="0.2">
      <c r="A124" s="21" t="s">
        <v>1262</v>
      </c>
      <c r="B124" s="21" t="s">
        <v>1914</v>
      </c>
      <c r="C124" s="21" t="s">
        <v>1915</v>
      </c>
    </row>
    <row r="125" spans="1:3" x14ac:dyDescent="0.2">
      <c r="A125" s="21" t="s">
        <v>414</v>
      </c>
      <c r="B125" s="21" t="s">
        <v>1916</v>
      </c>
      <c r="C125" s="21" t="s">
        <v>1917</v>
      </c>
    </row>
    <row r="126" spans="1:3" x14ac:dyDescent="0.2">
      <c r="A126" s="21" t="s">
        <v>979</v>
      </c>
      <c r="B126" s="21" t="s">
        <v>1918</v>
      </c>
      <c r="C126" s="21" t="s">
        <v>1919</v>
      </c>
    </row>
    <row r="127" spans="1:3" x14ac:dyDescent="0.2">
      <c r="A127" s="21" t="s">
        <v>964</v>
      </c>
      <c r="B127" s="21" t="s">
        <v>1920</v>
      </c>
      <c r="C127" s="21" t="s">
        <v>1921</v>
      </c>
    </row>
    <row r="128" spans="1:3" x14ac:dyDescent="0.2">
      <c r="A128" s="21" t="s">
        <v>206</v>
      </c>
      <c r="C128" s="21" t="s">
        <v>1922</v>
      </c>
    </row>
    <row r="129" spans="1:3" x14ac:dyDescent="0.2">
      <c r="A129" s="21" t="s">
        <v>210</v>
      </c>
      <c r="C129" s="21" t="s">
        <v>1923</v>
      </c>
    </row>
    <row r="130" spans="1:3" x14ac:dyDescent="0.2">
      <c r="A130" s="21" t="s">
        <v>208</v>
      </c>
      <c r="C130" s="21" t="s">
        <v>1924</v>
      </c>
    </row>
    <row r="131" spans="1:3" x14ac:dyDescent="0.2">
      <c r="A131" s="21" t="s">
        <v>198</v>
      </c>
      <c r="C131" s="21" t="s">
        <v>1925</v>
      </c>
    </row>
    <row r="132" spans="1:3" x14ac:dyDescent="0.2">
      <c r="A132" s="21" t="s">
        <v>202</v>
      </c>
      <c r="C132" s="21" t="s">
        <v>1926</v>
      </c>
    </row>
    <row r="133" spans="1:3" x14ac:dyDescent="0.2">
      <c r="A133" s="21" t="s">
        <v>196</v>
      </c>
      <c r="C133" s="21" t="s">
        <v>1927</v>
      </c>
    </row>
    <row r="134" spans="1:3" x14ac:dyDescent="0.2">
      <c r="A134" s="21" t="s">
        <v>204</v>
      </c>
      <c r="C134" s="21" t="s">
        <v>1928</v>
      </c>
    </row>
    <row r="135" spans="1:3" x14ac:dyDescent="0.2">
      <c r="A135" s="21" t="s">
        <v>515</v>
      </c>
      <c r="B135" s="21" t="s">
        <v>1929</v>
      </c>
      <c r="C135" s="21" t="s">
        <v>1930</v>
      </c>
    </row>
    <row r="136" spans="1:3" x14ac:dyDescent="0.2">
      <c r="A136" s="21" t="s">
        <v>581</v>
      </c>
      <c r="B136" s="21" t="s">
        <v>1931</v>
      </c>
      <c r="C136" s="21" t="s">
        <v>1932</v>
      </c>
    </row>
    <row r="137" spans="1:3" x14ac:dyDescent="0.2">
      <c r="A137" s="21" t="s">
        <v>914</v>
      </c>
      <c r="B137" s="21" t="s">
        <v>1933</v>
      </c>
      <c r="C137" s="21" t="s">
        <v>1934</v>
      </c>
    </row>
    <row r="138" spans="1:3" x14ac:dyDescent="0.2">
      <c r="A138" s="21" t="s">
        <v>1114</v>
      </c>
      <c r="B138" s="21" t="s">
        <v>1935</v>
      </c>
      <c r="C138" s="21" t="s">
        <v>1936</v>
      </c>
    </row>
    <row r="139" spans="1:3" x14ac:dyDescent="0.2">
      <c r="A139" s="21" t="s">
        <v>631</v>
      </c>
      <c r="B139" s="21" t="s">
        <v>1937</v>
      </c>
      <c r="C139" s="21" t="s">
        <v>1938</v>
      </c>
    </row>
    <row r="140" spans="1:3" x14ac:dyDescent="0.2">
      <c r="A140" s="21" t="s">
        <v>832</v>
      </c>
      <c r="B140" s="21" t="s">
        <v>1939</v>
      </c>
      <c r="C140" s="21" t="s">
        <v>1940</v>
      </c>
    </row>
    <row r="141" spans="1:3" x14ac:dyDescent="0.2">
      <c r="A141" s="21" t="s">
        <v>1696</v>
      </c>
      <c r="B141" s="21" t="s">
        <v>1941</v>
      </c>
      <c r="C141" s="21" t="s">
        <v>1942</v>
      </c>
    </row>
    <row r="142" spans="1:3" x14ac:dyDescent="0.2">
      <c r="A142" s="21" t="s">
        <v>224</v>
      </c>
      <c r="C142" s="21" t="s">
        <v>1943</v>
      </c>
    </row>
    <row r="143" spans="1:3" x14ac:dyDescent="0.2">
      <c r="A143" s="21" t="s">
        <v>226</v>
      </c>
      <c r="C143" s="21" t="s">
        <v>1944</v>
      </c>
    </row>
    <row r="144" spans="1:3" x14ac:dyDescent="0.2">
      <c r="A144" s="21" t="s">
        <v>228</v>
      </c>
      <c r="C144" s="21" t="s">
        <v>1945</v>
      </c>
    </row>
    <row r="145" spans="1:3" x14ac:dyDescent="0.2">
      <c r="A145" s="21" t="s">
        <v>220</v>
      </c>
      <c r="C145" s="21" t="s">
        <v>1946</v>
      </c>
    </row>
    <row r="146" spans="1:3" x14ac:dyDescent="0.2">
      <c r="A146" s="21" t="s">
        <v>544</v>
      </c>
      <c r="B146" s="21" t="s">
        <v>1947</v>
      </c>
      <c r="C146" s="21" t="s">
        <v>1948</v>
      </c>
    </row>
    <row r="147" spans="1:3" x14ac:dyDescent="0.2">
      <c r="A147" s="21" t="s">
        <v>653</v>
      </c>
      <c r="B147" s="21" t="s">
        <v>1949</v>
      </c>
      <c r="C147" s="21" t="s">
        <v>1950</v>
      </c>
    </row>
    <row r="148" spans="1:3" x14ac:dyDescent="0.2">
      <c r="A148" s="21" t="s">
        <v>424</v>
      </c>
      <c r="B148" s="21" t="s">
        <v>1951</v>
      </c>
      <c r="C148" s="21" t="s">
        <v>1952</v>
      </c>
    </row>
    <row r="149" spans="1:3" x14ac:dyDescent="0.2">
      <c r="A149" s="21" t="s">
        <v>700</v>
      </c>
      <c r="B149" s="21" t="s">
        <v>1953</v>
      </c>
      <c r="C149" s="21" t="s">
        <v>1954</v>
      </c>
    </row>
    <row r="150" spans="1:3" x14ac:dyDescent="0.2">
      <c r="A150" s="21" t="s">
        <v>420</v>
      </c>
      <c r="B150" s="21" t="s">
        <v>1953</v>
      </c>
      <c r="C150" s="21" t="s">
        <v>1955</v>
      </c>
    </row>
    <row r="151" spans="1:3" x14ac:dyDescent="0.2">
      <c r="A151" s="21" t="s">
        <v>671</v>
      </c>
      <c r="B151" s="21" t="s">
        <v>1956</v>
      </c>
      <c r="C151" s="21" t="s">
        <v>1957</v>
      </c>
    </row>
    <row r="152" spans="1:3" x14ac:dyDescent="0.2">
      <c r="A152" s="21" t="s">
        <v>427</v>
      </c>
      <c r="B152" s="21" t="s">
        <v>1958</v>
      </c>
      <c r="C152" s="21" t="s">
        <v>1959</v>
      </c>
    </row>
    <row r="153" spans="1:3" x14ac:dyDescent="0.2">
      <c r="A153" s="21" t="s">
        <v>910</v>
      </c>
      <c r="B153" s="21" t="s">
        <v>1960</v>
      </c>
      <c r="C153" s="21" t="s">
        <v>1961</v>
      </c>
    </row>
    <row r="154" spans="1:3" x14ac:dyDescent="0.2">
      <c r="A154" s="21" t="s">
        <v>894</v>
      </c>
      <c r="B154" s="21" t="s">
        <v>1962</v>
      </c>
      <c r="C154" s="21" t="s">
        <v>1963</v>
      </c>
    </row>
    <row r="155" spans="1:3" x14ac:dyDescent="0.2">
      <c r="A155" s="21" t="s">
        <v>906</v>
      </c>
      <c r="B155" s="21" t="s">
        <v>1964</v>
      </c>
      <c r="C155" s="21" t="s">
        <v>1965</v>
      </c>
    </row>
    <row r="156" spans="1:3" x14ac:dyDescent="0.2">
      <c r="A156" s="21" t="s">
        <v>898</v>
      </c>
      <c r="B156" s="21" t="s">
        <v>1966</v>
      </c>
      <c r="C156" s="21" t="s">
        <v>1967</v>
      </c>
    </row>
    <row r="157" spans="1:3" x14ac:dyDescent="0.2">
      <c r="A157" s="21" t="s">
        <v>1013</v>
      </c>
      <c r="B157" s="21" t="s">
        <v>1968</v>
      </c>
      <c r="C157" s="21" t="s">
        <v>1969</v>
      </c>
    </row>
    <row r="158" spans="1:3" x14ac:dyDescent="0.2">
      <c r="A158" s="21" t="s">
        <v>991</v>
      </c>
      <c r="B158" s="21" t="s">
        <v>1970</v>
      </c>
      <c r="C158" s="21" t="s">
        <v>1971</v>
      </c>
    </row>
    <row r="159" spans="1:3" x14ac:dyDescent="0.2">
      <c r="A159" s="21" t="s">
        <v>995</v>
      </c>
      <c r="B159" s="21" t="s">
        <v>1972</v>
      </c>
      <c r="C159" s="21" t="s">
        <v>1973</v>
      </c>
    </row>
    <row r="160" spans="1:3" x14ac:dyDescent="0.2">
      <c r="A160" s="21" t="s">
        <v>1005</v>
      </c>
      <c r="B160" s="21" t="s">
        <v>1974</v>
      </c>
      <c r="C160" s="21" t="s">
        <v>1975</v>
      </c>
    </row>
    <row r="161" spans="1:3" x14ac:dyDescent="0.2">
      <c r="A161" s="21" t="s">
        <v>665</v>
      </c>
      <c r="B161" s="21" t="s">
        <v>1976</v>
      </c>
      <c r="C161" s="21" t="s">
        <v>1977</v>
      </c>
    </row>
    <row r="162" spans="1:3" x14ac:dyDescent="0.2">
      <c r="A162" s="21" t="s">
        <v>1084</v>
      </c>
      <c r="B162" s="21" t="s">
        <v>1978</v>
      </c>
      <c r="C162" s="21" t="s">
        <v>1979</v>
      </c>
    </row>
    <row r="163" spans="1:3" x14ac:dyDescent="0.2">
      <c r="A163" s="21" t="s">
        <v>1131</v>
      </c>
      <c r="B163" s="21" t="s">
        <v>1980</v>
      </c>
      <c r="C163" s="21" t="s">
        <v>1981</v>
      </c>
    </row>
    <row r="164" spans="1:3" x14ac:dyDescent="0.2">
      <c r="A164" s="21" t="s">
        <v>49</v>
      </c>
      <c r="C164" s="21" t="s">
        <v>1982</v>
      </c>
    </row>
    <row r="165" spans="1:3" x14ac:dyDescent="0.2">
      <c r="A165" s="21" t="s">
        <v>58</v>
      </c>
      <c r="C165" s="21" t="s">
        <v>1983</v>
      </c>
    </row>
    <row r="166" spans="1:3" x14ac:dyDescent="0.2">
      <c r="A166" s="21" t="s">
        <v>60</v>
      </c>
      <c r="C166" s="21" t="s">
        <v>1984</v>
      </c>
    </row>
    <row r="167" spans="1:3" x14ac:dyDescent="0.2">
      <c r="A167" s="21" t="s">
        <v>1128</v>
      </c>
      <c r="B167" s="21" t="s">
        <v>1985</v>
      </c>
      <c r="C167" s="21" t="s">
        <v>1986</v>
      </c>
    </row>
    <row r="168" spans="1:3" x14ac:dyDescent="0.2">
      <c r="A168" s="21" t="s">
        <v>284</v>
      </c>
      <c r="C168" s="21" t="s">
        <v>1987</v>
      </c>
    </row>
    <row r="169" spans="1:3" x14ac:dyDescent="0.2">
      <c r="A169" s="21" t="s">
        <v>277</v>
      </c>
      <c r="C169" s="21" t="s">
        <v>1988</v>
      </c>
    </row>
    <row r="170" spans="1:3" x14ac:dyDescent="0.2">
      <c r="A170" s="21" t="s">
        <v>312</v>
      </c>
      <c r="C170" s="21" t="s">
        <v>1989</v>
      </c>
    </row>
    <row r="171" spans="1:3" x14ac:dyDescent="0.2">
      <c r="A171" s="21" t="s">
        <v>1111</v>
      </c>
      <c r="B171" s="21" t="s">
        <v>1990</v>
      </c>
      <c r="C171" s="21" t="s">
        <v>1991</v>
      </c>
    </row>
    <row r="172" spans="1:3" x14ac:dyDescent="0.2">
      <c r="A172" s="21" t="s">
        <v>548</v>
      </c>
      <c r="B172" s="21" t="s">
        <v>1992</v>
      </c>
      <c r="C172" s="21" t="s">
        <v>1993</v>
      </c>
    </row>
    <row r="173" spans="1:3" x14ac:dyDescent="0.2">
      <c r="A173" s="21" t="s">
        <v>607</v>
      </c>
      <c r="B173" s="21" t="s">
        <v>1994</v>
      </c>
      <c r="C173" s="21" t="s">
        <v>1995</v>
      </c>
    </row>
    <row r="174" spans="1:3" x14ac:dyDescent="0.2">
      <c r="A174" s="21" t="s">
        <v>372</v>
      </c>
      <c r="C174" s="21" t="s">
        <v>1996</v>
      </c>
    </row>
    <row r="175" spans="1:3" x14ac:dyDescent="0.2">
      <c r="A175" s="21" t="s">
        <v>1098</v>
      </c>
      <c r="B175" s="21" t="s">
        <v>1997</v>
      </c>
      <c r="C175" s="21" t="s">
        <v>1998</v>
      </c>
    </row>
    <row r="176" spans="1:3" x14ac:dyDescent="0.2">
      <c r="A176" s="21" t="s">
        <v>1196</v>
      </c>
      <c r="B176" s="21" t="s">
        <v>1999</v>
      </c>
      <c r="C176" s="21" t="s">
        <v>2000</v>
      </c>
    </row>
    <row r="177" spans="1:3" x14ac:dyDescent="0.2">
      <c r="A177" s="21" t="s">
        <v>366</v>
      </c>
      <c r="C177" s="21" t="s">
        <v>2001</v>
      </c>
    </row>
    <row r="178" spans="1:3" x14ac:dyDescent="0.2">
      <c r="A178" s="21" t="s">
        <v>957</v>
      </c>
      <c r="B178" s="21" t="s">
        <v>2002</v>
      </c>
      <c r="C178" s="21" t="s">
        <v>2003</v>
      </c>
    </row>
    <row r="179" spans="1:3" x14ac:dyDescent="0.2">
      <c r="A179" s="21" t="s">
        <v>961</v>
      </c>
      <c r="B179" s="21" t="s">
        <v>2004</v>
      </c>
      <c r="C179" s="21" t="s">
        <v>2005</v>
      </c>
    </row>
    <row r="180" spans="1:3" x14ac:dyDescent="0.2">
      <c r="A180" s="21" t="s">
        <v>1137</v>
      </c>
      <c r="B180" s="21" t="s">
        <v>2006</v>
      </c>
      <c r="C180" s="21" t="s">
        <v>2007</v>
      </c>
    </row>
    <row r="181" spans="1:3" x14ac:dyDescent="0.2">
      <c r="A181" s="21" t="s">
        <v>614</v>
      </c>
      <c r="B181" s="21" t="s">
        <v>2008</v>
      </c>
      <c r="C181" s="21" t="s">
        <v>2009</v>
      </c>
    </row>
    <row r="182" spans="1:3" x14ac:dyDescent="0.2">
      <c r="A182" s="21" t="s">
        <v>1444</v>
      </c>
      <c r="B182" s="21" t="s">
        <v>2010</v>
      </c>
      <c r="C182" s="21" t="s">
        <v>2011</v>
      </c>
    </row>
    <row r="183" spans="1:3" x14ac:dyDescent="0.2">
      <c r="A183" s="21" t="s">
        <v>1353</v>
      </c>
      <c r="B183" s="21" t="s">
        <v>2012</v>
      </c>
      <c r="C183" s="21" t="s">
        <v>2013</v>
      </c>
    </row>
    <row r="184" spans="1:3" x14ac:dyDescent="0.2">
      <c r="A184" s="21" t="s">
        <v>1270</v>
      </c>
      <c r="B184" s="21" t="s">
        <v>2014</v>
      </c>
      <c r="C184" s="21" t="s">
        <v>2015</v>
      </c>
    </row>
    <row r="185" spans="1:3" x14ac:dyDescent="0.2">
      <c r="A185" s="21" t="s">
        <v>1391</v>
      </c>
      <c r="B185" s="21" t="s">
        <v>2016</v>
      </c>
      <c r="C185" s="21" t="s">
        <v>2017</v>
      </c>
    </row>
    <row r="186" spans="1:3" x14ac:dyDescent="0.2">
      <c r="A186" s="21" t="s">
        <v>386</v>
      </c>
      <c r="C186" s="21" t="s">
        <v>2018</v>
      </c>
    </row>
    <row r="187" spans="1:3" x14ac:dyDescent="0.2">
      <c r="A187" s="21" t="s">
        <v>388</v>
      </c>
      <c r="C187" s="21" t="s">
        <v>2019</v>
      </c>
    </row>
    <row r="188" spans="1:3" x14ac:dyDescent="0.2">
      <c r="A188" s="21" t="s">
        <v>384</v>
      </c>
      <c r="C188" s="21" t="s">
        <v>2020</v>
      </c>
    </row>
    <row r="189" spans="1:3" x14ac:dyDescent="0.2">
      <c r="A189" s="21" t="s">
        <v>74</v>
      </c>
      <c r="C189" s="21" t="s">
        <v>2021</v>
      </c>
    </row>
    <row r="190" spans="1:3" x14ac:dyDescent="0.2">
      <c r="A190" s="21" t="s">
        <v>77</v>
      </c>
      <c r="C190" s="21" t="s">
        <v>2022</v>
      </c>
    </row>
    <row r="191" spans="1:3" x14ac:dyDescent="0.2">
      <c r="A191" s="21" t="s">
        <v>89</v>
      </c>
      <c r="C191" s="21" t="s">
        <v>2023</v>
      </c>
    </row>
    <row r="192" spans="1:3" x14ac:dyDescent="0.2">
      <c r="A192" s="21" t="s">
        <v>94</v>
      </c>
      <c r="C192" s="21" t="s">
        <v>2024</v>
      </c>
    </row>
    <row r="193" spans="1:3" x14ac:dyDescent="0.2">
      <c r="A193" s="21" t="s">
        <v>1498</v>
      </c>
      <c r="B193" s="21" t="s">
        <v>2025</v>
      </c>
      <c r="C193" s="21" t="s">
        <v>2026</v>
      </c>
    </row>
    <row r="194" spans="1:3" x14ac:dyDescent="0.2">
      <c r="A194" s="21" t="s">
        <v>1176</v>
      </c>
      <c r="B194" s="21" t="s">
        <v>2027</v>
      </c>
      <c r="C194" s="21" t="s">
        <v>2028</v>
      </c>
    </row>
    <row r="195" spans="1:3" x14ac:dyDescent="0.2">
      <c r="A195" s="21" t="s">
        <v>1483</v>
      </c>
      <c r="B195" s="21" t="s">
        <v>2029</v>
      </c>
      <c r="C195" s="21" t="s">
        <v>2030</v>
      </c>
    </row>
    <row r="196" spans="1:3" x14ac:dyDescent="0.2">
      <c r="A196" s="21" t="s">
        <v>1495</v>
      </c>
      <c r="B196" s="21" t="s">
        <v>2031</v>
      </c>
      <c r="C196" s="21" t="s">
        <v>2032</v>
      </c>
    </row>
    <row r="197" spans="1:3" x14ac:dyDescent="0.2">
      <c r="A197" s="21" t="s">
        <v>1501</v>
      </c>
      <c r="B197" s="21" t="s">
        <v>2033</v>
      </c>
      <c r="C197" s="21" t="s">
        <v>2034</v>
      </c>
    </row>
    <row r="198" spans="1:3" x14ac:dyDescent="0.2">
      <c r="A198" s="21" t="s">
        <v>83</v>
      </c>
      <c r="C198" s="21" t="s">
        <v>2035</v>
      </c>
    </row>
    <row r="199" spans="1:3" x14ac:dyDescent="0.2">
      <c r="A199" s="21" t="s">
        <v>80</v>
      </c>
      <c r="C199" s="21" t="s">
        <v>2036</v>
      </c>
    </row>
    <row r="200" spans="1:3" x14ac:dyDescent="0.2">
      <c r="A200" s="21" t="s">
        <v>628</v>
      </c>
      <c r="B200" s="21" t="s">
        <v>2037</v>
      </c>
      <c r="C200" s="21" t="s">
        <v>2038</v>
      </c>
    </row>
    <row r="201" spans="1:3" x14ac:dyDescent="0.2">
      <c r="A201" s="21" t="s">
        <v>1020</v>
      </c>
      <c r="B201" s="21" t="s">
        <v>2039</v>
      </c>
      <c r="C201" s="21" t="s">
        <v>2040</v>
      </c>
    </row>
    <row r="202" spans="1:3" x14ac:dyDescent="0.2">
      <c r="A202" s="21" t="s">
        <v>745</v>
      </c>
      <c r="B202" s="21" t="s">
        <v>2041</v>
      </c>
      <c r="C202" s="21" t="s">
        <v>2042</v>
      </c>
    </row>
    <row r="203" spans="1:3" x14ac:dyDescent="0.2">
      <c r="A203" s="21" t="s">
        <v>555</v>
      </c>
      <c r="B203" s="21" t="s">
        <v>2041</v>
      </c>
      <c r="C203" s="21" t="s">
        <v>2043</v>
      </c>
    </row>
    <row r="204" spans="1:3" x14ac:dyDescent="0.2">
      <c r="A204" s="21" t="s">
        <v>633</v>
      </c>
      <c r="B204" s="21" t="s">
        <v>2041</v>
      </c>
      <c r="C204" s="21" t="s">
        <v>2044</v>
      </c>
    </row>
    <row r="205" spans="1:3" x14ac:dyDescent="0.2">
      <c r="A205" s="21" t="s">
        <v>1426</v>
      </c>
      <c r="B205" s="21" t="s">
        <v>2045</v>
      </c>
      <c r="C205" s="21" t="s">
        <v>2046</v>
      </c>
    </row>
    <row r="206" spans="1:3" x14ac:dyDescent="0.2">
      <c r="A206" s="21" t="s">
        <v>1418</v>
      </c>
      <c r="B206" s="21" t="s">
        <v>2047</v>
      </c>
      <c r="C206" s="21" t="s">
        <v>2048</v>
      </c>
    </row>
    <row r="207" spans="1:3" x14ac:dyDescent="0.2">
      <c r="A207" s="21" t="s">
        <v>1254</v>
      </c>
      <c r="B207" s="21" t="s">
        <v>2049</v>
      </c>
      <c r="C207" s="21" t="s">
        <v>2050</v>
      </c>
    </row>
    <row r="208" spans="1:3" x14ac:dyDescent="0.2">
      <c r="A208" s="21" t="s">
        <v>1250</v>
      </c>
      <c r="B208" s="21" t="s">
        <v>2051</v>
      </c>
      <c r="C208" s="21" t="s">
        <v>2052</v>
      </c>
    </row>
    <row r="209" spans="1:3" x14ac:dyDescent="0.2">
      <c r="A209" s="21" t="s">
        <v>1282</v>
      </c>
      <c r="B209" s="21" t="s">
        <v>2053</v>
      </c>
      <c r="C209" s="21" t="s">
        <v>2054</v>
      </c>
    </row>
    <row r="210" spans="1:3" x14ac:dyDescent="0.2">
      <c r="A210" s="21" t="s">
        <v>1258</v>
      </c>
      <c r="B210" s="21" t="s">
        <v>2055</v>
      </c>
      <c r="C210" s="21" t="s">
        <v>2056</v>
      </c>
    </row>
    <row r="211" spans="1:3" x14ac:dyDescent="0.2">
      <c r="A211" s="21" t="s">
        <v>584</v>
      </c>
      <c r="B211" s="21" t="s">
        <v>2057</v>
      </c>
      <c r="C211" s="21" t="s">
        <v>2058</v>
      </c>
    </row>
    <row r="212" spans="1:3" x14ac:dyDescent="0.2">
      <c r="A212" s="21" t="s">
        <v>541</v>
      </c>
      <c r="B212" s="21" t="s">
        <v>2059</v>
      </c>
      <c r="C212" s="21" t="s">
        <v>2060</v>
      </c>
    </row>
    <row r="213" spans="1:3" x14ac:dyDescent="0.2">
      <c r="A213" s="21" t="s">
        <v>1108</v>
      </c>
      <c r="B213" s="21" t="s">
        <v>2061</v>
      </c>
      <c r="C213" s="21" t="s">
        <v>2062</v>
      </c>
    </row>
    <row r="214" spans="1:3" x14ac:dyDescent="0.2">
      <c r="A214" s="21" t="s">
        <v>933</v>
      </c>
      <c r="B214" s="21" t="s">
        <v>2063</v>
      </c>
      <c r="C214" s="21" t="s">
        <v>2064</v>
      </c>
    </row>
    <row r="215" spans="1:3" x14ac:dyDescent="0.2">
      <c r="A215" s="21" t="s">
        <v>1193</v>
      </c>
      <c r="B215" s="21" t="s">
        <v>2065</v>
      </c>
      <c r="C215" s="21" t="s">
        <v>2066</v>
      </c>
    </row>
    <row r="216" spans="1:3" x14ac:dyDescent="0.2">
      <c r="A216" s="21" t="s">
        <v>799</v>
      </c>
      <c r="B216" s="21" t="s">
        <v>2067</v>
      </c>
      <c r="C216" s="21" t="s">
        <v>2068</v>
      </c>
    </row>
    <row r="217" spans="1:3" x14ac:dyDescent="0.2">
      <c r="A217" s="21" t="s">
        <v>774</v>
      </c>
      <c r="B217" s="21" t="s">
        <v>2069</v>
      </c>
      <c r="C217" s="21" t="s">
        <v>2070</v>
      </c>
    </row>
    <row r="218" spans="1:3" x14ac:dyDescent="0.2">
      <c r="A218" s="21" t="s">
        <v>1071</v>
      </c>
      <c r="B218" s="21" t="s">
        <v>2071</v>
      </c>
      <c r="C218" s="21" t="s">
        <v>2072</v>
      </c>
    </row>
    <row r="219" spans="1:3" x14ac:dyDescent="0.2">
      <c r="A219" s="21" t="s">
        <v>34</v>
      </c>
      <c r="C219" s="21" t="s">
        <v>2073</v>
      </c>
    </row>
    <row r="220" spans="1:3" x14ac:dyDescent="0.2">
      <c r="A220" s="21" t="s">
        <v>37</v>
      </c>
      <c r="C220" s="21" t="s">
        <v>2074</v>
      </c>
    </row>
    <row r="221" spans="1:3" x14ac:dyDescent="0.2">
      <c r="A221" s="21" t="s">
        <v>52</v>
      </c>
      <c r="C221" s="21" t="s">
        <v>2075</v>
      </c>
    </row>
    <row r="222" spans="1:3" x14ac:dyDescent="0.2">
      <c r="A222" s="21" t="s">
        <v>318</v>
      </c>
      <c r="C222" s="21" t="s">
        <v>2076</v>
      </c>
    </row>
    <row r="223" spans="1:3" x14ac:dyDescent="0.2">
      <c r="A223" s="21" t="s">
        <v>321</v>
      </c>
      <c r="C223" s="21" t="s">
        <v>2077</v>
      </c>
    </row>
    <row r="224" spans="1:3" x14ac:dyDescent="0.2">
      <c r="A224" s="21" t="s">
        <v>67</v>
      </c>
      <c r="C224" s="21" t="s">
        <v>2078</v>
      </c>
    </row>
    <row r="225" spans="1:3" x14ac:dyDescent="0.2">
      <c r="A225" s="21" t="s">
        <v>72</v>
      </c>
      <c r="C225" s="21" t="s">
        <v>2079</v>
      </c>
    </row>
    <row r="226" spans="1:3" x14ac:dyDescent="0.2">
      <c r="A226" s="21" t="s">
        <v>92</v>
      </c>
      <c r="C226" s="21" t="s">
        <v>2080</v>
      </c>
    </row>
    <row r="227" spans="1:3" x14ac:dyDescent="0.2">
      <c r="A227" s="21" t="s">
        <v>390</v>
      </c>
      <c r="C227" s="21" t="s">
        <v>2081</v>
      </c>
    </row>
    <row r="228" spans="1:3" x14ac:dyDescent="0.2">
      <c r="A228" s="21" t="s">
        <v>537</v>
      </c>
      <c r="B228" s="21" t="s">
        <v>2082</v>
      </c>
      <c r="C228" s="21" t="s">
        <v>2083</v>
      </c>
    </row>
    <row r="229" spans="1:3" x14ac:dyDescent="0.2">
      <c r="A229" s="21" t="s">
        <v>86</v>
      </c>
      <c r="C229" s="21" t="s">
        <v>2084</v>
      </c>
    </row>
    <row r="230" spans="1:3" x14ac:dyDescent="0.2">
      <c r="A230" s="21" t="s">
        <v>983</v>
      </c>
      <c r="B230" s="21" t="s">
        <v>2085</v>
      </c>
      <c r="C230" s="21" t="s">
        <v>2086</v>
      </c>
    </row>
    <row r="231" spans="1:3" x14ac:dyDescent="0.2">
      <c r="A231" s="21" t="s">
        <v>1341</v>
      </c>
      <c r="B231" s="21" t="s">
        <v>2087</v>
      </c>
      <c r="C231" s="21" t="s">
        <v>2088</v>
      </c>
    </row>
    <row r="232" spans="1:3" x14ac:dyDescent="0.2">
      <c r="A232" s="21" t="s">
        <v>698</v>
      </c>
      <c r="B232" s="21" t="s">
        <v>2089</v>
      </c>
      <c r="C232" s="21" t="s">
        <v>2090</v>
      </c>
    </row>
    <row r="233" spans="1:3" x14ac:dyDescent="0.2">
      <c r="A233" s="21" t="s">
        <v>1491</v>
      </c>
      <c r="B233" s="21" t="s">
        <v>2091</v>
      </c>
      <c r="C233" s="21" t="s">
        <v>2092</v>
      </c>
    </row>
    <row r="234" spans="1:3" x14ac:dyDescent="0.2">
      <c r="A234" s="21" t="s">
        <v>703</v>
      </c>
      <c r="B234" s="21" t="s">
        <v>2093</v>
      </c>
      <c r="C234" s="21" t="s">
        <v>2094</v>
      </c>
    </row>
    <row r="235" spans="1:3" x14ac:dyDescent="0.2">
      <c r="A235" s="21" t="s">
        <v>1027</v>
      </c>
      <c r="B235" s="21" t="s">
        <v>2095</v>
      </c>
      <c r="C235" s="21" t="s">
        <v>2096</v>
      </c>
    </row>
    <row r="236" spans="1:3" x14ac:dyDescent="0.2">
      <c r="A236" s="21" t="s">
        <v>674</v>
      </c>
      <c r="B236" s="21" t="s">
        <v>2097</v>
      </c>
      <c r="C236" s="21" t="s">
        <v>2098</v>
      </c>
    </row>
    <row r="237" spans="1:3" x14ac:dyDescent="0.2">
      <c r="A237" s="21" t="s">
        <v>430</v>
      </c>
      <c r="B237" s="21" t="s">
        <v>2099</v>
      </c>
      <c r="C237" s="21" t="s">
        <v>2100</v>
      </c>
    </row>
    <row r="238" spans="1:3" x14ac:dyDescent="0.2">
      <c r="A238" s="21" t="s">
        <v>304</v>
      </c>
      <c r="C238" s="21" t="s">
        <v>2101</v>
      </c>
    </row>
    <row r="239" spans="1:3" x14ac:dyDescent="0.2">
      <c r="A239" s="21" t="s">
        <v>310</v>
      </c>
      <c r="C239" s="21" t="s">
        <v>2102</v>
      </c>
    </row>
    <row r="240" spans="1:3" x14ac:dyDescent="0.2">
      <c r="A240" s="21" t="s">
        <v>300</v>
      </c>
      <c r="C240" s="21" t="s">
        <v>2103</v>
      </c>
    </row>
    <row r="241" spans="1:3" x14ac:dyDescent="0.2">
      <c r="A241" s="21" t="s">
        <v>316</v>
      </c>
      <c r="C241" s="21" t="s">
        <v>2104</v>
      </c>
    </row>
    <row r="242" spans="1:3" x14ac:dyDescent="0.2">
      <c r="A242" s="21" t="s">
        <v>292</v>
      </c>
      <c r="C242" s="21" t="s">
        <v>2105</v>
      </c>
    </row>
    <row r="243" spans="1:3" x14ac:dyDescent="0.2">
      <c r="A243" s="21" t="s">
        <v>262</v>
      </c>
      <c r="C243" s="21" t="s">
        <v>2106</v>
      </c>
    </row>
    <row r="244" spans="1:3" x14ac:dyDescent="0.2">
      <c r="A244" s="21" t="s">
        <v>260</v>
      </c>
      <c r="C244" s="21" t="s">
        <v>2107</v>
      </c>
    </row>
    <row r="245" spans="1:3" x14ac:dyDescent="0.2">
      <c r="A245" s="21" t="s">
        <v>266</v>
      </c>
      <c r="C245" s="21" t="s">
        <v>2108</v>
      </c>
    </row>
    <row r="246" spans="1:3" x14ac:dyDescent="0.2">
      <c r="A246" s="21" t="s">
        <v>270</v>
      </c>
      <c r="C246" s="21" t="s">
        <v>2109</v>
      </c>
    </row>
    <row r="247" spans="1:3" x14ac:dyDescent="0.2">
      <c r="A247" s="21" t="s">
        <v>256</v>
      </c>
      <c r="C247" s="21" t="s">
        <v>2110</v>
      </c>
    </row>
    <row r="248" spans="1:3" x14ac:dyDescent="0.2">
      <c r="A248" s="21" t="s">
        <v>254</v>
      </c>
      <c r="C248" s="21" t="s">
        <v>2111</v>
      </c>
    </row>
    <row r="249" spans="1:3" x14ac:dyDescent="0.2">
      <c r="A249" s="21" t="s">
        <v>258</v>
      </c>
      <c r="C249" s="21" t="s">
        <v>2112</v>
      </c>
    </row>
    <row r="250" spans="1:3" x14ac:dyDescent="0.2">
      <c r="A250" s="21" t="s">
        <v>294</v>
      </c>
      <c r="C250" s="21" t="s">
        <v>2113</v>
      </c>
    </row>
    <row r="251" spans="1:3" x14ac:dyDescent="0.2">
      <c r="A251" s="21" t="s">
        <v>268</v>
      </c>
      <c r="C251" s="21" t="s">
        <v>2114</v>
      </c>
    </row>
    <row r="252" spans="1:3" x14ac:dyDescent="0.2">
      <c r="A252" s="21" t="s">
        <v>296</v>
      </c>
      <c r="C252" s="21" t="s">
        <v>2115</v>
      </c>
    </row>
    <row r="253" spans="1:3" x14ac:dyDescent="0.2">
      <c r="A253" s="21" t="s">
        <v>288</v>
      </c>
      <c r="C253" s="21" t="s">
        <v>2116</v>
      </c>
    </row>
    <row r="254" spans="1:3" x14ac:dyDescent="0.2">
      <c r="A254" s="21" t="s">
        <v>279</v>
      </c>
      <c r="C254" s="21" t="s">
        <v>2117</v>
      </c>
    </row>
    <row r="255" spans="1:3" x14ac:dyDescent="0.2">
      <c r="A255" s="21" t="s">
        <v>264</v>
      </c>
      <c r="C255" s="21" t="s">
        <v>2118</v>
      </c>
    </row>
    <row r="256" spans="1:3" x14ac:dyDescent="0.2">
      <c r="A256" s="21" t="s">
        <v>286</v>
      </c>
      <c r="C256" s="21" t="s">
        <v>2119</v>
      </c>
    </row>
    <row r="257" spans="1:3" x14ac:dyDescent="0.2">
      <c r="A257" s="21" t="s">
        <v>298</v>
      </c>
      <c r="C257" s="21" t="s">
        <v>2120</v>
      </c>
    </row>
    <row r="258" spans="1:3" x14ac:dyDescent="0.2">
      <c r="A258" s="21" t="s">
        <v>306</v>
      </c>
      <c r="C258" s="21" t="s">
        <v>2121</v>
      </c>
    </row>
    <row r="259" spans="1:3" x14ac:dyDescent="0.2">
      <c r="A259" s="21" t="s">
        <v>308</v>
      </c>
      <c r="C259" s="21" t="s">
        <v>2122</v>
      </c>
    </row>
    <row r="260" spans="1:3" x14ac:dyDescent="0.2">
      <c r="A260" s="21" t="s">
        <v>314</v>
      </c>
      <c r="C260" s="21" t="s">
        <v>2123</v>
      </c>
    </row>
    <row r="261" spans="1:3" x14ac:dyDescent="0.2">
      <c r="A261" s="21" t="s">
        <v>302</v>
      </c>
      <c r="C261" s="21" t="s">
        <v>2124</v>
      </c>
    </row>
    <row r="262" spans="1:3" x14ac:dyDescent="0.2">
      <c r="A262" s="21" t="s">
        <v>139</v>
      </c>
      <c r="C262" s="21" t="s">
        <v>2125</v>
      </c>
    </row>
    <row r="263" spans="1:3" x14ac:dyDescent="0.2">
      <c r="A263" s="21" t="s">
        <v>356</v>
      </c>
      <c r="C263" s="21" t="s">
        <v>2126</v>
      </c>
    </row>
    <row r="264" spans="1:3" x14ac:dyDescent="0.2">
      <c r="A264" s="21" t="s">
        <v>360</v>
      </c>
      <c r="C264" s="21" t="s">
        <v>2127</v>
      </c>
    </row>
    <row r="265" spans="1:3" x14ac:dyDescent="0.2">
      <c r="A265" s="21" t="s">
        <v>154</v>
      </c>
      <c r="C265" s="21" t="s">
        <v>2128</v>
      </c>
    </row>
    <row r="266" spans="1:3" x14ac:dyDescent="0.2">
      <c r="A266" s="21" t="s">
        <v>917</v>
      </c>
      <c r="B266" s="21" t="s">
        <v>2129</v>
      </c>
      <c r="C266" s="21" t="s">
        <v>2130</v>
      </c>
    </row>
    <row r="267" spans="1:3" x14ac:dyDescent="0.2">
      <c r="A267" s="21" t="s">
        <v>1023</v>
      </c>
      <c r="B267" s="21" t="s">
        <v>2131</v>
      </c>
      <c r="C267" s="21" t="s">
        <v>2132</v>
      </c>
    </row>
    <row r="268" spans="1:3" x14ac:dyDescent="0.2">
      <c r="A268" s="21" t="s">
        <v>1041</v>
      </c>
      <c r="B268" s="21" t="s">
        <v>2133</v>
      </c>
      <c r="C268" s="21" t="s">
        <v>2134</v>
      </c>
    </row>
    <row r="269" spans="1:3" x14ac:dyDescent="0.2">
      <c r="A269" s="21" t="s">
        <v>1031</v>
      </c>
      <c r="B269" s="21" t="s">
        <v>2135</v>
      </c>
      <c r="C269" s="21" t="s">
        <v>2136</v>
      </c>
    </row>
    <row r="270" spans="1:3" x14ac:dyDescent="0.2">
      <c r="A270" s="21" t="s">
        <v>971</v>
      </c>
      <c r="B270" s="21" t="s">
        <v>2137</v>
      </c>
      <c r="C270" s="21" t="s">
        <v>2138</v>
      </c>
    </row>
    <row r="271" spans="1:3" x14ac:dyDescent="0.2">
      <c r="A271" s="21" t="s">
        <v>835</v>
      </c>
      <c r="B271" s="21" t="s">
        <v>2139</v>
      </c>
      <c r="C271" s="21" t="s">
        <v>2140</v>
      </c>
    </row>
    <row r="272" spans="1:3" x14ac:dyDescent="0.2">
      <c r="A272" s="21" t="s">
        <v>668</v>
      </c>
      <c r="B272" s="21" t="s">
        <v>2141</v>
      </c>
      <c r="C272" s="21" t="s">
        <v>2142</v>
      </c>
    </row>
    <row r="273" spans="1:3" x14ac:dyDescent="0.2">
      <c r="A273" s="21" t="s">
        <v>1045</v>
      </c>
      <c r="B273" s="21" t="s">
        <v>2143</v>
      </c>
      <c r="C273" s="21" t="s">
        <v>2144</v>
      </c>
    </row>
    <row r="274" spans="1:3" x14ac:dyDescent="0.2">
      <c r="A274" s="21" t="s">
        <v>1454</v>
      </c>
      <c r="B274" s="21" t="s">
        <v>2145</v>
      </c>
      <c r="C274" s="21" t="s">
        <v>2146</v>
      </c>
    </row>
    <row r="275" spans="1:3" x14ac:dyDescent="0.2">
      <c r="A275" s="21" t="s">
        <v>1378</v>
      </c>
      <c r="B275" s="21" t="s">
        <v>2147</v>
      </c>
      <c r="C275" s="21" t="s">
        <v>2148</v>
      </c>
    </row>
    <row r="276" spans="1:3" x14ac:dyDescent="0.2">
      <c r="A276" s="21" t="s">
        <v>1336</v>
      </c>
      <c r="B276" s="21" t="s">
        <v>2149</v>
      </c>
      <c r="C276" s="21" t="s">
        <v>2150</v>
      </c>
    </row>
    <row r="277" spans="1:3" x14ac:dyDescent="0.2">
      <c r="A277" s="21" t="s">
        <v>1452</v>
      </c>
      <c r="B277" s="21" t="s">
        <v>2145</v>
      </c>
      <c r="C277" s="21" t="s">
        <v>2151</v>
      </c>
    </row>
    <row r="278" spans="1:3" x14ac:dyDescent="0.2">
      <c r="A278" s="21" t="s">
        <v>1380</v>
      </c>
      <c r="B278" s="21" t="s">
        <v>2147</v>
      </c>
      <c r="C278" s="21" t="s">
        <v>2152</v>
      </c>
    </row>
    <row r="279" spans="1:3" x14ac:dyDescent="0.2">
      <c r="A279" s="21" t="s">
        <v>1338</v>
      </c>
      <c r="B279" s="21" t="s">
        <v>2149</v>
      </c>
      <c r="C279" s="21" t="s">
        <v>2153</v>
      </c>
    </row>
    <row r="280" spans="1:3" x14ac:dyDescent="0.2">
      <c r="A280" s="21" t="s">
        <v>815</v>
      </c>
      <c r="B280" s="21" t="s">
        <v>2154</v>
      </c>
      <c r="C280" s="21" t="s">
        <v>2155</v>
      </c>
    </row>
    <row r="281" spans="1:3" x14ac:dyDescent="0.2">
      <c r="A281" s="21" t="s">
        <v>875</v>
      </c>
      <c r="B281" s="21" t="s">
        <v>2156</v>
      </c>
      <c r="C281" s="21" t="s">
        <v>2157</v>
      </c>
    </row>
    <row r="282" spans="1:3" x14ac:dyDescent="0.2">
      <c r="A282" s="21" t="s">
        <v>565</v>
      </c>
      <c r="B282" s="21" t="s">
        <v>2158</v>
      </c>
      <c r="C282" s="21" t="s">
        <v>2159</v>
      </c>
    </row>
    <row r="283" spans="1:3" x14ac:dyDescent="0.2">
      <c r="A283" s="21" t="s">
        <v>743</v>
      </c>
      <c r="B283" s="21" t="s">
        <v>2160</v>
      </c>
      <c r="C283" s="21" t="s">
        <v>2161</v>
      </c>
    </row>
    <row r="284" spans="1:3" x14ac:dyDescent="0.2">
      <c r="A284" s="21" t="s">
        <v>407</v>
      </c>
      <c r="B284" s="21" t="s">
        <v>2162</v>
      </c>
      <c r="C284" s="21" t="s">
        <v>2163</v>
      </c>
    </row>
    <row r="285" spans="1:3" x14ac:dyDescent="0.2">
      <c r="A285" s="21" t="s">
        <v>640</v>
      </c>
      <c r="B285" s="21" t="s">
        <v>2164</v>
      </c>
      <c r="C285" s="21" t="s">
        <v>2165</v>
      </c>
    </row>
    <row r="286" spans="1:3" x14ac:dyDescent="0.2">
      <c r="A286" s="21" t="s">
        <v>496</v>
      </c>
      <c r="B286" s="21" t="s">
        <v>2166</v>
      </c>
      <c r="C286" s="21" t="s">
        <v>2167</v>
      </c>
    </row>
    <row r="287" spans="1:3" x14ac:dyDescent="0.2">
      <c r="A287" s="21" t="s">
        <v>707</v>
      </c>
      <c r="B287" s="21" t="s">
        <v>2168</v>
      </c>
      <c r="C287" s="21" t="s">
        <v>2169</v>
      </c>
    </row>
    <row r="288" spans="1:3" x14ac:dyDescent="0.2">
      <c r="A288" s="21" t="s">
        <v>499</v>
      </c>
      <c r="B288" s="21" t="s">
        <v>2170</v>
      </c>
      <c r="C288" s="21" t="s">
        <v>2171</v>
      </c>
    </row>
    <row r="289" spans="1:3" x14ac:dyDescent="0.2">
      <c r="A289" s="21" t="s">
        <v>858</v>
      </c>
      <c r="B289" s="21" t="s">
        <v>2172</v>
      </c>
      <c r="C289" s="21" t="s">
        <v>2173</v>
      </c>
    </row>
    <row r="290" spans="1:3" x14ac:dyDescent="0.2">
      <c r="A290" s="21" t="s">
        <v>866</v>
      </c>
      <c r="B290" s="21" t="s">
        <v>2174</v>
      </c>
      <c r="C290" s="21" t="s">
        <v>2175</v>
      </c>
    </row>
    <row r="291" spans="1:3" x14ac:dyDescent="0.2">
      <c r="A291" s="21" t="s">
        <v>636</v>
      </c>
      <c r="B291" s="21" t="s">
        <v>2176</v>
      </c>
      <c r="C291" s="21" t="s">
        <v>2177</v>
      </c>
    </row>
    <row r="292" spans="1:3" x14ac:dyDescent="0.2">
      <c r="A292" s="21" t="s">
        <v>492</v>
      </c>
      <c r="B292" s="21" t="s">
        <v>2178</v>
      </c>
      <c r="C292" s="21" t="s">
        <v>2179</v>
      </c>
    </row>
    <row r="293" spans="1:3" x14ac:dyDescent="0.2">
      <c r="A293" s="21" t="s">
        <v>620</v>
      </c>
      <c r="B293" s="21" t="s">
        <v>2180</v>
      </c>
      <c r="C293" s="21" t="s">
        <v>2181</v>
      </c>
    </row>
    <row r="294" spans="1:3" x14ac:dyDescent="0.2">
      <c r="A294" s="21" t="s">
        <v>847</v>
      </c>
      <c r="B294" s="21" t="s">
        <v>2182</v>
      </c>
      <c r="C294" s="21" t="s">
        <v>2183</v>
      </c>
    </row>
    <row r="295" spans="1:3" x14ac:dyDescent="0.2">
      <c r="A295" s="21" t="s">
        <v>591</v>
      </c>
      <c r="B295" s="21" t="s">
        <v>2184</v>
      </c>
      <c r="C295" s="21" t="s">
        <v>2185</v>
      </c>
    </row>
    <row r="296" spans="1:3" x14ac:dyDescent="0.2">
      <c r="A296" s="21" t="s">
        <v>617</v>
      </c>
      <c r="B296" s="21" t="s">
        <v>2186</v>
      </c>
      <c r="C296" s="21" t="s">
        <v>2187</v>
      </c>
    </row>
    <row r="297" spans="1:3" x14ac:dyDescent="0.2">
      <c r="A297" s="21" t="s">
        <v>726</v>
      </c>
      <c r="B297" s="21" t="s">
        <v>2188</v>
      </c>
      <c r="C297" s="21" t="s">
        <v>2189</v>
      </c>
    </row>
    <row r="298" spans="1:3" x14ac:dyDescent="0.2">
      <c r="A298" s="21" t="s">
        <v>551</v>
      </c>
      <c r="B298" s="21" t="s">
        <v>2190</v>
      </c>
      <c r="C298" s="21" t="s">
        <v>2191</v>
      </c>
    </row>
    <row r="299" spans="1:3" x14ac:dyDescent="0.2">
      <c r="A299" s="21" t="s">
        <v>739</v>
      </c>
      <c r="B299" s="21" t="s">
        <v>2192</v>
      </c>
      <c r="C299" s="21" t="s">
        <v>2193</v>
      </c>
    </row>
    <row r="300" spans="1:3" x14ac:dyDescent="0.2">
      <c r="A300" s="21" t="s">
        <v>559</v>
      </c>
      <c r="B300" s="21" t="s">
        <v>2194</v>
      </c>
      <c r="C300" s="21" t="s">
        <v>2195</v>
      </c>
    </row>
    <row r="301" spans="1:3" x14ac:dyDescent="0.2">
      <c r="A301" s="21" t="s">
        <v>436</v>
      </c>
      <c r="B301" s="21" t="s">
        <v>2196</v>
      </c>
      <c r="C301" s="21" t="s">
        <v>2197</v>
      </c>
    </row>
    <row r="302" spans="1:3" x14ac:dyDescent="0.2">
      <c r="A302" s="21" t="s">
        <v>164</v>
      </c>
      <c r="C302" s="21" t="s">
        <v>2198</v>
      </c>
    </row>
    <row r="303" spans="1:3" x14ac:dyDescent="0.2">
      <c r="A303" s="21" t="s">
        <v>167</v>
      </c>
      <c r="C303" s="21" t="s">
        <v>2199</v>
      </c>
    </row>
    <row r="304" spans="1:3" x14ac:dyDescent="0.2">
      <c r="A304" s="21" t="s">
        <v>173</v>
      </c>
      <c r="C304" s="21" t="s">
        <v>2200</v>
      </c>
    </row>
    <row r="305" spans="1:3" x14ac:dyDescent="0.2">
      <c r="A305" s="21" t="s">
        <v>179</v>
      </c>
      <c r="C305" s="21" t="s">
        <v>2201</v>
      </c>
    </row>
    <row r="306" spans="1:3" x14ac:dyDescent="0.2">
      <c r="A306" s="21" t="s">
        <v>170</v>
      </c>
      <c r="C306" s="21" t="s">
        <v>2202</v>
      </c>
    </row>
    <row r="307" spans="1:3" x14ac:dyDescent="0.2">
      <c r="A307" s="21" t="s">
        <v>176</v>
      </c>
      <c r="C307" s="21" t="s">
        <v>2203</v>
      </c>
    </row>
    <row r="308" spans="1:3" x14ac:dyDescent="0.2">
      <c r="A308" s="21" t="s">
        <v>272</v>
      </c>
      <c r="C308" s="21" t="s">
        <v>2204</v>
      </c>
    </row>
    <row r="309" spans="1:3" x14ac:dyDescent="0.2">
      <c r="A309" s="21" t="s">
        <v>1120</v>
      </c>
      <c r="B309" s="21" t="s">
        <v>2205</v>
      </c>
      <c r="C309" s="21" t="s">
        <v>2206</v>
      </c>
    </row>
    <row r="310" spans="1:3" x14ac:dyDescent="0.2">
      <c r="A310" s="21" t="s">
        <v>141</v>
      </c>
      <c r="C310" s="21" t="s">
        <v>2207</v>
      </c>
    </row>
    <row r="311" spans="1:3" x14ac:dyDescent="0.2">
      <c r="A311" s="21" t="s">
        <v>451</v>
      </c>
      <c r="B311" s="21" t="s">
        <v>2208</v>
      </c>
      <c r="C311" s="21" t="s">
        <v>2209</v>
      </c>
    </row>
    <row r="312" spans="1:3" x14ac:dyDescent="0.2">
      <c r="A312" s="21" t="s">
        <v>854</v>
      </c>
      <c r="B312" s="21" t="s">
        <v>2210</v>
      </c>
      <c r="C312" s="21" t="s">
        <v>2211</v>
      </c>
    </row>
    <row r="313" spans="1:3" x14ac:dyDescent="0.2">
      <c r="A313" s="21" t="s">
        <v>987</v>
      </c>
      <c r="B313" s="21" t="s">
        <v>2212</v>
      </c>
      <c r="C313" s="21" t="s">
        <v>2213</v>
      </c>
    </row>
    <row r="314" spans="1:3" x14ac:dyDescent="0.2">
      <c r="A314" s="21" t="s">
        <v>733</v>
      </c>
      <c r="B314" s="21" t="s">
        <v>2214</v>
      </c>
      <c r="C314" s="21" t="s">
        <v>2215</v>
      </c>
    </row>
    <row r="315" spans="1:3" x14ac:dyDescent="0.2">
      <c r="A315" s="21" t="s">
        <v>148</v>
      </c>
      <c r="C315" s="21" t="s">
        <v>2216</v>
      </c>
    </row>
    <row r="316" spans="1:3" x14ac:dyDescent="0.2">
      <c r="A316" s="21" t="s">
        <v>1173</v>
      </c>
      <c r="B316" s="21" t="s">
        <v>2217</v>
      </c>
      <c r="C316" s="21" t="s">
        <v>2218</v>
      </c>
    </row>
    <row r="317" spans="1:3" x14ac:dyDescent="0.2">
      <c r="A317" s="21" t="s">
        <v>809</v>
      </c>
      <c r="B317" s="21" t="s">
        <v>2219</v>
      </c>
      <c r="C317" s="21" t="s">
        <v>2220</v>
      </c>
    </row>
    <row r="318" spans="1:3" x14ac:dyDescent="0.2">
      <c r="A318" s="21" t="s">
        <v>1372</v>
      </c>
      <c r="B318" s="21" t="s">
        <v>2221</v>
      </c>
      <c r="C318" s="21" t="s">
        <v>2222</v>
      </c>
    </row>
    <row r="319" spans="1:3" x14ac:dyDescent="0.2">
      <c r="A319" s="21" t="s">
        <v>659</v>
      </c>
      <c r="B319" s="21" t="s">
        <v>2223</v>
      </c>
      <c r="C319" s="21" t="s">
        <v>2224</v>
      </c>
    </row>
    <row r="320" spans="1:3" x14ac:dyDescent="0.2">
      <c r="A320" s="21" t="s">
        <v>534</v>
      </c>
      <c r="B320" s="21" t="s">
        <v>2225</v>
      </c>
      <c r="C320" s="21" t="s">
        <v>2226</v>
      </c>
    </row>
    <row r="321" spans="1:3" x14ac:dyDescent="0.2">
      <c r="A321" s="21" t="s">
        <v>323</v>
      </c>
      <c r="C321" s="21" t="s">
        <v>2227</v>
      </c>
    </row>
    <row r="322" spans="1:3" x14ac:dyDescent="0.2">
      <c r="A322" s="21" t="s">
        <v>1430</v>
      </c>
      <c r="B322" s="21" t="s">
        <v>2228</v>
      </c>
      <c r="C322" s="21" t="s">
        <v>2229</v>
      </c>
    </row>
    <row r="323" spans="1:3" x14ac:dyDescent="0.2">
      <c r="A323" s="21" t="s">
        <v>1190</v>
      </c>
      <c r="B323" s="21" t="s">
        <v>2230</v>
      </c>
      <c r="C323" s="21" t="s">
        <v>2231</v>
      </c>
    </row>
    <row r="324" spans="1:3" x14ac:dyDescent="0.2">
      <c r="A324" s="21" t="s">
        <v>662</v>
      </c>
      <c r="B324" s="21" t="s">
        <v>2232</v>
      </c>
      <c r="C324" s="21" t="s">
        <v>2233</v>
      </c>
    </row>
    <row r="325" spans="1:3" x14ac:dyDescent="0.2">
      <c r="A325" s="21" t="s">
        <v>1465</v>
      </c>
      <c r="B325" s="21" t="s">
        <v>2234</v>
      </c>
      <c r="C325" s="21" t="s">
        <v>2235</v>
      </c>
    </row>
    <row r="326" spans="1:3" x14ac:dyDescent="0.2">
      <c r="A326" s="21" t="s">
        <v>486</v>
      </c>
      <c r="B326" s="21" t="s">
        <v>2236</v>
      </c>
      <c r="C326" s="21" t="s">
        <v>2237</v>
      </c>
    </row>
    <row r="327" spans="1:3" x14ac:dyDescent="0.2">
      <c r="A327" s="21" t="s">
        <v>719</v>
      </c>
      <c r="B327" s="21" t="s">
        <v>2238</v>
      </c>
      <c r="C327" s="21" t="s">
        <v>2239</v>
      </c>
    </row>
    <row r="328" spans="1:3" x14ac:dyDescent="0.2">
      <c r="A328" s="21" t="s">
        <v>1074</v>
      </c>
      <c r="B328" s="21" t="s">
        <v>2240</v>
      </c>
      <c r="C328" s="21" t="s">
        <v>2241</v>
      </c>
    </row>
    <row r="329" spans="1:3" x14ac:dyDescent="0.2">
      <c r="A329" s="21" t="s">
        <v>1064</v>
      </c>
      <c r="B329" s="21" t="s">
        <v>2242</v>
      </c>
      <c r="C329" s="21" t="s">
        <v>2243</v>
      </c>
    </row>
    <row r="330" spans="1:3" x14ac:dyDescent="0.2">
      <c r="A330" s="21" t="s">
        <v>1061</v>
      </c>
      <c r="B330" s="21" t="s">
        <v>2244</v>
      </c>
      <c r="C330" s="21" t="s">
        <v>2245</v>
      </c>
    </row>
    <row r="331" spans="1:3" x14ac:dyDescent="0.2">
      <c r="A331" s="21" t="s">
        <v>1077</v>
      </c>
      <c r="B331" s="21" t="s">
        <v>2246</v>
      </c>
      <c r="C331" s="21" t="s">
        <v>2247</v>
      </c>
    </row>
    <row r="332" spans="1:3" x14ac:dyDescent="0.2">
      <c r="A332" s="21" t="s">
        <v>506</v>
      </c>
      <c r="B332" s="21" t="s">
        <v>2248</v>
      </c>
      <c r="C332" s="21" t="s">
        <v>2249</v>
      </c>
    </row>
    <row r="333" spans="1:3" x14ac:dyDescent="0.2">
      <c r="A333" s="21" t="s">
        <v>31</v>
      </c>
      <c r="C333" s="21" t="s">
        <v>2250</v>
      </c>
    </row>
    <row r="334" spans="1:3" x14ac:dyDescent="0.2">
      <c r="A334" s="21" t="s">
        <v>27</v>
      </c>
      <c r="C334" s="21" t="s">
        <v>2251</v>
      </c>
    </row>
    <row r="335" spans="1:3" x14ac:dyDescent="0.2">
      <c r="A335" s="21" t="s">
        <v>656</v>
      </c>
      <c r="B335" s="21" t="s">
        <v>2252</v>
      </c>
      <c r="C335" s="21" t="s">
        <v>2253</v>
      </c>
    </row>
    <row r="336" spans="1:3" x14ac:dyDescent="0.2">
      <c r="A336" s="21" t="s">
        <v>509</v>
      </c>
      <c r="B336" s="21" t="s">
        <v>2254</v>
      </c>
      <c r="C336" s="21" t="s">
        <v>2255</v>
      </c>
    </row>
    <row r="337" spans="1:3" x14ac:dyDescent="0.2">
      <c r="A337" s="21" t="s">
        <v>680</v>
      </c>
      <c r="B337" s="21" t="s">
        <v>2256</v>
      </c>
      <c r="C337" s="21" t="s">
        <v>2257</v>
      </c>
    </row>
    <row r="338" spans="1:3" x14ac:dyDescent="0.2">
      <c r="A338" s="21" t="s">
        <v>1124</v>
      </c>
      <c r="B338" s="21" t="s">
        <v>2258</v>
      </c>
      <c r="C338" s="21" t="s">
        <v>2259</v>
      </c>
    </row>
    <row r="339" spans="1:3" x14ac:dyDescent="0.2">
      <c r="A339" s="21" t="s">
        <v>1087</v>
      </c>
      <c r="B339" s="21" t="s">
        <v>2260</v>
      </c>
      <c r="C339" s="21" t="s">
        <v>2261</v>
      </c>
    </row>
    <row r="340" spans="1:3" x14ac:dyDescent="0.2">
      <c r="A340" s="21" t="s">
        <v>1117</v>
      </c>
      <c r="B340" s="21" t="s">
        <v>2262</v>
      </c>
      <c r="C340" s="21" t="s">
        <v>2263</v>
      </c>
    </row>
    <row r="341" spans="1:3" x14ac:dyDescent="0.2">
      <c r="A341" s="21" t="s">
        <v>333</v>
      </c>
      <c r="C341" s="21" t="s">
        <v>2264</v>
      </c>
    </row>
    <row r="342" spans="1:3" x14ac:dyDescent="0.2">
      <c r="A342" s="21" t="s">
        <v>1140</v>
      </c>
      <c r="B342" s="21" t="s">
        <v>2265</v>
      </c>
      <c r="C342" s="21" t="s">
        <v>2266</v>
      </c>
    </row>
    <row r="343" spans="1:3" x14ac:dyDescent="0.2">
      <c r="A343" s="21" t="s">
        <v>1147</v>
      </c>
      <c r="B343" s="21" t="s">
        <v>2267</v>
      </c>
      <c r="C343" s="21" t="s">
        <v>2268</v>
      </c>
    </row>
    <row r="344" spans="1:3" x14ac:dyDescent="0.2">
      <c r="A344" s="21" t="s">
        <v>1134</v>
      </c>
      <c r="B344" s="21" t="s">
        <v>2269</v>
      </c>
      <c r="C344" s="21" t="s">
        <v>2270</v>
      </c>
    </row>
    <row r="345" spans="1:3" x14ac:dyDescent="0.2">
      <c r="A345" s="21" t="s">
        <v>327</v>
      </c>
      <c r="C345" s="21" t="s">
        <v>2271</v>
      </c>
    </row>
    <row r="346" spans="1:3" x14ac:dyDescent="0.2">
      <c r="A346" s="21" t="s">
        <v>137</v>
      </c>
      <c r="C346" s="21" t="s">
        <v>2272</v>
      </c>
    </row>
    <row r="347" spans="1:3" x14ac:dyDescent="0.2">
      <c r="A347" s="21" t="s">
        <v>572</v>
      </c>
      <c r="B347" s="21" t="s">
        <v>2273</v>
      </c>
      <c r="C347" s="21" t="s">
        <v>2274</v>
      </c>
    </row>
    <row r="348" spans="1:3" x14ac:dyDescent="0.2">
      <c r="A348" s="21" t="s">
        <v>1186</v>
      </c>
      <c r="B348" s="21" t="s">
        <v>2275</v>
      </c>
      <c r="C348" s="21" t="s">
        <v>2276</v>
      </c>
    </row>
    <row r="349" spans="1:3" x14ac:dyDescent="0.2">
      <c r="A349" s="21" t="s">
        <v>1509</v>
      </c>
      <c r="B349" s="21" t="s">
        <v>2277</v>
      </c>
      <c r="C349" s="21" t="s">
        <v>2278</v>
      </c>
    </row>
    <row r="350" spans="1:3" x14ac:dyDescent="0.2">
      <c r="A350" s="21" t="s">
        <v>1183</v>
      </c>
      <c r="B350" s="21" t="s">
        <v>2279</v>
      </c>
      <c r="C350" s="21" t="s">
        <v>2280</v>
      </c>
    </row>
    <row r="351" spans="1:3" x14ac:dyDescent="0.2">
      <c r="A351" s="21" t="s">
        <v>1095</v>
      </c>
      <c r="B351" s="21" t="s">
        <v>2281</v>
      </c>
      <c r="C351" s="21" t="s">
        <v>2282</v>
      </c>
    </row>
    <row r="352" spans="1:3" x14ac:dyDescent="0.2">
      <c r="A352" s="21" t="s">
        <v>354</v>
      </c>
      <c r="C352" s="21" t="s">
        <v>2283</v>
      </c>
    </row>
    <row r="353" spans="1:3" x14ac:dyDescent="0.2">
      <c r="A353" s="21" t="s">
        <v>447</v>
      </c>
      <c r="B353" s="21" t="s">
        <v>2284</v>
      </c>
      <c r="C353" s="21" t="s">
        <v>2285</v>
      </c>
    </row>
    <row r="354" spans="1:3" x14ac:dyDescent="0.2">
      <c r="A354" s="21" t="s">
        <v>683</v>
      </c>
      <c r="B354" s="21" t="s">
        <v>2286</v>
      </c>
      <c r="C354" s="21" t="s">
        <v>2287</v>
      </c>
    </row>
    <row r="355" spans="1:3" x14ac:dyDescent="0.2">
      <c r="A355" s="21" t="s">
        <v>1694</v>
      </c>
      <c r="B355" s="21" t="s">
        <v>2288</v>
      </c>
      <c r="C355" s="21" t="s">
        <v>2289</v>
      </c>
    </row>
    <row r="356" spans="1:3" x14ac:dyDescent="0.2">
      <c r="A356" s="21" t="s">
        <v>968</v>
      </c>
      <c r="B356" s="21" t="s">
        <v>2290</v>
      </c>
      <c r="C356" s="21" t="s">
        <v>2291</v>
      </c>
    </row>
    <row r="357" spans="1:3" x14ac:dyDescent="0.2">
      <c r="A357" s="21" t="s">
        <v>998</v>
      </c>
      <c r="B357" s="21" t="s">
        <v>2292</v>
      </c>
      <c r="C357" s="21" t="s">
        <v>2293</v>
      </c>
    </row>
    <row r="358" spans="1:3" x14ac:dyDescent="0.2">
      <c r="A358" s="21" t="s">
        <v>1707</v>
      </c>
      <c r="B358" s="21" t="s">
        <v>2294</v>
      </c>
      <c r="C358" s="21" t="s">
        <v>2295</v>
      </c>
    </row>
    <row r="359" spans="1:3" x14ac:dyDescent="0.2">
      <c r="A359" s="21" t="s">
        <v>1227</v>
      </c>
      <c r="B359" s="21" t="s">
        <v>2296</v>
      </c>
      <c r="C359" s="21" t="s">
        <v>2297</v>
      </c>
    </row>
    <row r="360" spans="1:3" x14ac:dyDescent="0.2">
      <c r="A360" s="21" t="s">
        <v>1207</v>
      </c>
      <c r="B360" s="21" t="s">
        <v>2298</v>
      </c>
      <c r="C360" s="21" t="s">
        <v>2299</v>
      </c>
    </row>
    <row r="361" spans="1:3" x14ac:dyDescent="0.2">
      <c r="A361" s="21" t="s">
        <v>1286</v>
      </c>
      <c r="B361" s="21" t="s">
        <v>2300</v>
      </c>
      <c r="C361" s="21" t="s">
        <v>2301</v>
      </c>
    </row>
    <row r="362" spans="1:3" x14ac:dyDescent="0.2">
      <c r="A362" s="21" t="s">
        <v>1349</v>
      </c>
      <c r="B362" s="21" t="s">
        <v>2302</v>
      </c>
      <c r="C362" s="21" t="s">
        <v>2303</v>
      </c>
    </row>
    <row r="363" spans="1:3" x14ac:dyDescent="0.2">
      <c r="A363" s="21" t="s">
        <v>1448</v>
      </c>
      <c r="B363" s="21" t="s">
        <v>2304</v>
      </c>
      <c r="C363" s="21" t="s">
        <v>2305</v>
      </c>
    </row>
    <row r="364" spans="1:3" x14ac:dyDescent="0.2">
      <c r="A364" s="21" t="s">
        <v>1318</v>
      </c>
      <c r="B364" s="21" t="s">
        <v>2306</v>
      </c>
      <c r="C364" s="21" t="s">
        <v>2307</v>
      </c>
    </row>
    <row r="365" spans="1:3" x14ac:dyDescent="0.2">
      <c r="A365" s="21" t="s">
        <v>1407</v>
      </c>
      <c r="B365" s="21" t="s">
        <v>2308</v>
      </c>
      <c r="C365" s="21" t="s">
        <v>2309</v>
      </c>
    </row>
    <row r="366" spans="1:3" x14ac:dyDescent="0.2">
      <c r="A366" s="21" t="s">
        <v>1310</v>
      </c>
      <c r="B366" s="21" t="s">
        <v>2310</v>
      </c>
      <c r="C366" s="21" t="s">
        <v>2311</v>
      </c>
    </row>
    <row r="367" spans="1:3" x14ac:dyDescent="0.2">
      <c r="A367" s="21" t="s">
        <v>1364</v>
      </c>
      <c r="B367" s="21" t="s">
        <v>2312</v>
      </c>
      <c r="C367" s="21" t="s">
        <v>2313</v>
      </c>
    </row>
    <row r="368" spans="1:3" x14ac:dyDescent="0.2">
      <c r="A368" s="21" t="s">
        <v>1395</v>
      </c>
      <c r="B368" s="21" t="s">
        <v>2314</v>
      </c>
      <c r="C368" s="21" t="s">
        <v>2315</v>
      </c>
    </row>
    <row r="369" spans="1:3" x14ac:dyDescent="0.2">
      <c r="A369" s="21" t="s">
        <v>1266</v>
      </c>
      <c r="B369" s="21" t="s">
        <v>2316</v>
      </c>
      <c r="C369" s="21" t="s">
        <v>2317</v>
      </c>
    </row>
    <row r="370" spans="1:3" x14ac:dyDescent="0.2">
      <c r="A370" s="21" t="s">
        <v>1479</v>
      </c>
      <c r="B370" s="21" t="s">
        <v>2318</v>
      </c>
      <c r="C370" s="21" t="s">
        <v>2319</v>
      </c>
    </row>
    <row r="371" spans="1:3" x14ac:dyDescent="0.2">
      <c r="A371" s="21" t="s">
        <v>410</v>
      </c>
      <c r="B371" s="21" t="s">
        <v>2320</v>
      </c>
      <c r="C371" s="21" t="s">
        <v>2321</v>
      </c>
    </row>
    <row r="372" spans="1:3" x14ac:dyDescent="0.2">
      <c r="A372" s="21" t="s">
        <v>502</v>
      </c>
      <c r="B372" s="21" t="s">
        <v>2322</v>
      </c>
      <c r="C372" s="21" t="s">
        <v>2323</v>
      </c>
    </row>
    <row r="373" spans="1:3" x14ac:dyDescent="0.2">
      <c r="A373" s="21" t="s">
        <v>598</v>
      </c>
      <c r="B373" s="21" t="s">
        <v>2320</v>
      </c>
      <c r="C373" s="21" t="s">
        <v>2324</v>
      </c>
    </row>
    <row r="374" spans="1:3" x14ac:dyDescent="0.2">
      <c r="A374" s="21" t="s">
        <v>601</v>
      </c>
      <c r="B374" s="21" t="s">
        <v>2325</v>
      </c>
      <c r="C374" s="21" t="s">
        <v>2326</v>
      </c>
    </row>
    <row r="375" spans="1:3" x14ac:dyDescent="0.2">
      <c r="A375" s="21" t="s">
        <v>480</v>
      </c>
      <c r="B375" s="21" t="s">
        <v>2327</v>
      </c>
      <c r="C375" s="21" t="s">
        <v>2328</v>
      </c>
    </row>
    <row r="376" spans="1:3" x14ac:dyDescent="0.2">
      <c r="A376" s="21" t="s">
        <v>562</v>
      </c>
      <c r="B376" s="21" t="s">
        <v>2329</v>
      </c>
      <c r="C376" s="21" t="s">
        <v>2330</v>
      </c>
    </row>
    <row r="377" spans="1:3" x14ac:dyDescent="0.2">
      <c r="A377" s="21" t="s">
        <v>686</v>
      </c>
      <c r="B377" s="21" t="s">
        <v>2331</v>
      </c>
      <c r="C377" s="21" t="s">
        <v>2332</v>
      </c>
    </row>
    <row r="378" spans="1:3" x14ac:dyDescent="0.2">
      <c r="A378" s="21" t="s">
        <v>454</v>
      </c>
      <c r="B378" s="21" t="s">
        <v>2333</v>
      </c>
      <c r="C378" s="21" t="s">
        <v>2334</v>
      </c>
    </row>
    <row r="379" spans="1:3" x14ac:dyDescent="0.2">
      <c r="A379" s="21" t="s">
        <v>713</v>
      </c>
      <c r="B379" s="21" t="s">
        <v>2335</v>
      </c>
      <c r="C379" s="21" t="s">
        <v>2336</v>
      </c>
    </row>
    <row r="380" spans="1:3" x14ac:dyDescent="0.2">
      <c r="A380" s="21" t="s">
        <v>335</v>
      </c>
      <c r="C380" s="21" t="s">
        <v>2337</v>
      </c>
    </row>
    <row r="381" spans="1:3" x14ac:dyDescent="0.2">
      <c r="A381" s="21" t="s">
        <v>62</v>
      </c>
      <c r="C381" s="21" t="s">
        <v>2338</v>
      </c>
    </row>
    <row r="382" spans="1:3" x14ac:dyDescent="0.2">
      <c r="A382" s="21" t="s">
        <v>65</v>
      </c>
      <c r="C382" s="21" t="s">
        <v>2339</v>
      </c>
    </row>
    <row r="383" spans="1:3" x14ac:dyDescent="0.2">
      <c r="A383" s="21" t="s">
        <v>443</v>
      </c>
      <c r="B383" s="21" t="s">
        <v>2340</v>
      </c>
      <c r="C383" s="21" t="s">
        <v>2341</v>
      </c>
    </row>
    <row r="384" spans="1:3" x14ac:dyDescent="0.2">
      <c r="A384" s="21" t="s">
        <v>578</v>
      </c>
      <c r="B384" s="21" t="s">
        <v>1949</v>
      </c>
      <c r="C384" s="21" t="s">
        <v>2342</v>
      </c>
    </row>
    <row r="385" spans="1:3" x14ac:dyDescent="0.2">
      <c r="A385" s="21" t="s">
        <v>1472</v>
      </c>
      <c r="B385" s="21" t="s">
        <v>2158</v>
      </c>
      <c r="C385" s="21" t="s">
        <v>2343</v>
      </c>
    </row>
    <row r="386" spans="1:3" x14ac:dyDescent="0.2">
      <c r="A386" s="21" t="s">
        <v>710</v>
      </c>
      <c r="B386" s="21" t="s">
        <v>2344</v>
      </c>
      <c r="C386" s="21" t="s">
        <v>2345</v>
      </c>
    </row>
    <row r="387" spans="1:3" x14ac:dyDescent="0.2">
      <c r="A387" s="21" t="s">
        <v>1505</v>
      </c>
      <c r="B387" s="21" t="s">
        <v>2346</v>
      </c>
      <c r="C387" s="21" t="s">
        <v>2347</v>
      </c>
    </row>
    <row r="388" spans="1:3" x14ac:dyDescent="0.2">
      <c r="A388" s="21" t="s">
        <v>805</v>
      </c>
      <c r="B388" s="21" t="s">
        <v>2348</v>
      </c>
      <c r="C388" s="21" t="s">
        <v>2349</v>
      </c>
    </row>
    <row r="389" spans="1:3" x14ac:dyDescent="0.2">
      <c r="A389" s="21" t="s">
        <v>777</v>
      </c>
      <c r="B389" s="21" t="s">
        <v>2350</v>
      </c>
      <c r="C389" s="21" t="s">
        <v>2351</v>
      </c>
    </row>
    <row r="390" spans="1:3" x14ac:dyDescent="0.2">
      <c r="A390" s="21" t="s">
        <v>647</v>
      </c>
      <c r="B390" s="21" t="s">
        <v>2352</v>
      </c>
      <c r="C390" s="21" t="s">
        <v>2353</v>
      </c>
    </row>
    <row r="391" spans="1:3" x14ac:dyDescent="0.2">
      <c r="A391" s="21" t="s">
        <v>512</v>
      </c>
      <c r="B391" s="21" t="s">
        <v>2354</v>
      </c>
      <c r="C391" s="21" t="s">
        <v>2355</v>
      </c>
    </row>
    <row r="392" spans="1:3" x14ac:dyDescent="0.2">
      <c r="A392" s="21" t="s">
        <v>722</v>
      </c>
      <c r="B392" s="21" t="s">
        <v>2356</v>
      </c>
      <c r="C392" s="21" t="s">
        <v>2357</v>
      </c>
    </row>
    <row r="393" spans="1:3" x14ac:dyDescent="0.2">
      <c r="A393" s="21" t="s">
        <v>458</v>
      </c>
      <c r="B393" s="21" t="s">
        <v>2358</v>
      </c>
      <c r="C393" s="21" t="s">
        <v>2359</v>
      </c>
    </row>
    <row r="394" spans="1:3" x14ac:dyDescent="0.2">
      <c r="A394" s="21" t="s">
        <v>1080</v>
      </c>
      <c r="B394" s="21" t="s">
        <v>2360</v>
      </c>
      <c r="C394" s="21" t="s">
        <v>2361</v>
      </c>
    </row>
    <row r="395" spans="1:3" x14ac:dyDescent="0.2">
      <c r="A395" s="21" t="s">
        <v>376</v>
      </c>
      <c r="C395" s="21" t="s">
        <v>2362</v>
      </c>
    </row>
    <row r="396" spans="1:3" x14ac:dyDescent="0.2">
      <c r="A396" s="21" t="s">
        <v>575</v>
      </c>
      <c r="B396" s="21" t="s">
        <v>2363</v>
      </c>
      <c r="C396" s="21" t="s">
        <v>2364</v>
      </c>
    </row>
    <row r="397" spans="1:3" x14ac:dyDescent="0.2">
      <c r="A397" s="21" t="s">
        <v>869</v>
      </c>
      <c r="B397" s="21" t="s">
        <v>2365</v>
      </c>
      <c r="C397" s="21" t="s">
        <v>2366</v>
      </c>
    </row>
    <row r="398" spans="1:3" x14ac:dyDescent="0.2">
      <c r="A398" s="21" t="s">
        <v>194</v>
      </c>
      <c r="C398" s="21" t="s">
        <v>2367</v>
      </c>
    </row>
    <row r="399" spans="1:3" x14ac:dyDescent="0.2">
      <c r="A399" s="21" t="s">
        <v>218</v>
      </c>
      <c r="C399" s="21" t="s">
        <v>2368</v>
      </c>
    </row>
    <row r="400" spans="1:3" x14ac:dyDescent="0.2">
      <c r="A400" s="21" t="s">
        <v>214</v>
      </c>
      <c r="C400" s="21" t="s">
        <v>2369</v>
      </c>
    </row>
    <row r="401" spans="1:3" x14ac:dyDescent="0.2">
      <c r="A401" s="21" t="s">
        <v>188</v>
      </c>
      <c r="C401" s="21" t="s">
        <v>2370</v>
      </c>
    </row>
    <row r="402" spans="1:3" x14ac:dyDescent="0.2">
      <c r="A402" s="21" t="s">
        <v>944</v>
      </c>
      <c r="B402" s="21" t="s">
        <v>2371</v>
      </c>
      <c r="C402" s="21" t="s">
        <v>2372</v>
      </c>
    </row>
    <row r="403" spans="1:3" x14ac:dyDescent="0.2">
      <c r="A403" s="21" t="s">
        <v>879</v>
      </c>
      <c r="B403" s="21" t="s">
        <v>2373</v>
      </c>
      <c r="C403" s="21" t="s">
        <v>2374</v>
      </c>
    </row>
    <row r="404" spans="1:3" x14ac:dyDescent="0.2">
      <c r="A404" s="21" t="s">
        <v>1053</v>
      </c>
      <c r="B404" s="21" t="s">
        <v>2375</v>
      </c>
      <c r="C404" s="21" t="s">
        <v>2376</v>
      </c>
    </row>
    <row r="405" spans="1:3" x14ac:dyDescent="0.2">
      <c r="A405" s="21" t="s">
        <v>1049</v>
      </c>
      <c r="B405" s="21" t="s">
        <v>2377</v>
      </c>
      <c r="C405" s="21" t="s">
        <v>2378</v>
      </c>
    </row>
    <row r="406" spans="1:3" x14ac:dyDescent="0.2">
      <c r="A406" s="21" t="s">
        <v>474</v>
      </c>
      <c r="B406" s="21" t="s">
        <v>2379</v>
      </c>
      <c r="C406" s="21" t="s">
        <v>2380</v>
      </c>
    </row>
    <row r="407" spans="1:3" x14ac:dyDescent="0.2">
      <c r="A407" s="21" t="s">
        <v>1375</v>
      </c>
      <c r="B407" s="21" t="s">
        <v>2381</v>
      </c>
      <c r="C407" s="21" t="s">
        <v>2382</v>
      </c>
    </row>
    <row r="408" spans="1:3" x14ac:dyDescent="0.2">
      <c r="A408" s="21" t="s">
        <v>1415</v>
      </c>
      <c r="B408" s="21" t="s">
        <v>2383</v>
      </c>
      <c r="C408" s="21" t="s">
        <v>2384</v>
      </c>
    </row>
    <row r="409" spans="1:3" x14ac:dyDescent="0.2">
      <c r="A409" s="21" t="s">
        <v>1433</v>
      </c>
      <c r="B409" s="21" t="s">
        <v>2385</v>
      </c>
      <c r="C409" s="21" t="s">
        <v>2386</v>
      </c>
    </row>
    <row r="410" spans="1:3" x14ac:dyDescent="0.2">
      <c r="A410" s="21" t="s">
        <v>325</v>
      </c>
      <c r="C410" s="21" t="s">
        <v>2387</v>
      </c>
    </row>
    <row r="411" spans="1:3" x14ac:dyDescent="0.2">
      <c r="A411" s="21" t="s">
        <v>477</v>
      </c>
      <c r="B411" s="21" t="s">
        <v>2388</v>
      </c>
      <c r="C411" s="21" t="s">
        <v>2389</v>
      </c>
    </row>
    <row r="412" spans="1:3" x14ac:dyDescent="0.2">
      <c r="A412" s="21" t="s">
        <v>1017</v>
      </c>
      <c r="B412" s="21" t="s">
        <v>2390</v>
      </c>
      <c r="C412" s="21" t="s">
        <v>2391</v>
      </c>
    </row>
    <row r="413" spans="1:3" x14ac:dyDescent="0.2">
      <c r="A413" s="21" t="s">
        <v>392</v>
      </c>
      <c r="C413" s="21" t="s">
        <v>2392</v>
      </c>
    </row>
    <row r="414" spans="1:3" x14ac:dyDescent="0.2">
      <c r="A414" s="21" t="s">
        <v>524</v>
      </c>
      <c r="B414" s="21" t="s">
        <v>2393</v>
      </c>
      <c r="C414" s="21" t="s">
        <v>2394</v>
      </c>
    </row>
    <row r="415" spans="1:3" x14ac:dyDescent="0.2">
      <c r="A415" s="21" t="s">
        <v>643</v>
      </c>
      <c r="B415" s="21" t="s">
        <v>2395</v>
      </c>
      <c r="C415" s="21" t="s">
        <v>2396</v>
      </c>
    </row>
    <row r="416" spans="1:3" x14ac:dyDescent="0.2">
      <c r="A416" s="21" t="s">
        <v>483</v>
      </c>
      <c r="B416" s="21" t="s">
        <v>2397</v>
      </c>
      <c r="C416" s="21" t="s">
        <v>2398</v>
      </c>
    </row>
    <row r="417" spans="1:3" x14ac:dyDescent="0.2">
      <c r="A417" s="21" t="s">
        <v>650</v>
      </c>
      <c r="B417" s="21" t="s">
        <v>2399</v>
      </c>
      <c r="C417" s="21" t="s">
        <v>2400</v>
      </c>
    </row>
    <row r="418" spans="1:3" x14ac:dyDescent="0.2">
      <c r="A418" s="21" t="s">
        <v>518</v>
      </c>
      <c r="B418" s="21" t="s">
        <v>2401</v>
      </c>
      <c r="C418" s="21" t="s">
        <v>2402</v>
      </c>
    </row>
    <row r="419" spans="1:3" x14ac:dyDescent="0.2">
      <c r="A419" s="21" t="s">
        <v>156</v>
      </c>
      <c r="C419" s="21" t="s">
        <v>2403</v>
      </c>
    </row>
    <row r="420" spans="1:3" x14ac:dyDescent="0.2">
      <c r="A420" s="21" t="s">
        <v>45</v>
      </c>
      <c r="C420" s="21" t="s">
        <v>2404</v>
      </c>
    </row>
    <row r="421" spans="1:3" x14ac:dyDescent="0.2">
      <c r="A421" s="21" t="s">
        <v>47</v>
      </c>
      <c r="C421" s="21" t="s">
        <v>2405</v>
      </c>
    </row>
    <row r="422" spans="1:3" x14ac:dyDescent="0.2">
      <c r="A422" s="21" t="s">
        <v>39</v>
      </c>
      <c r="C422" s="21" t="s">
        <v>2406</v>
      </c>
    </row>
    <row r="423" spans="1:3" x14ac:dyDescent="0.2">
      <c r="A423" s="21" t="s">
        <v>950</v>
      </c>
      <c r="B423" s="21" t="s">
        <v>2407</v>
      </c>
      <c r="C423" s="21" t="s">
        <v>2408</v>
      </c>
    </row>
    <row r="424" spans="1:3" x14ac:dyDescent="0.2">
      <c r="A424" s="21" t="s">
        <v>902</v>
      </c>
      <c r="B424" s="21" t="s">
        <v>2409</v>
      </c>
      <c r="C424" s="21" t="s">
        <v>2410</v>
      </c>
    </row>
    <row r="425" spans="1:3" x14ac:dyDescent="0.2">
      <c r="A425" s="21" t="s">
        <v>1035</v>
      </c>
      <c r="B425" s="21" t="s">
        <v>2411</v>
      </c>
      <c r="C425" s="21" t="s">
        <v>2412</v>
      </c>
    </row>
    <row r="426" spans="1:3" x14ac:dyDescent="0.2">
      <c r="A426" s="21" t="s">
        <v>186</v>
      </c>
      <c r="C426" s="21" t="s">
        <v>2413</v>
      </c>
    </row>
    <row r="427" spans="1:3" x14ac:dyDescent="0.2">
      <c r="A427" s="21" t="s">
        <v>192</v>
      </c>
      <c r="C427" s="21" t="s">
        <v>2414</v>
      </c>
    </row>
    <row r="428" spans="1:3" x14ac:dyDescent="0.2">
      <c r="A428" s="21" t="s">
        <v>212</v>
      </c>
      <c r="C428" s="21" t="s">
        <v>2415</v>
      </c>
    </row>
    <row r="429" spans="1:3" x14ac:dyDescent="0.2">
      <c r="A429" s="21" t="s">
        <v>190</v>
      </c>
      <c r="C429" s="21" t="s">
        <v>2416</v>
      </c>
    </row>
    <row r="430" spans="1:3" x14ac:dyDescent="0.2">
      <c r="A430" s="21" t="s">
        <v>158</v>
      </c>
      <c r="C430" s="21" t="s">
        <v>2417</v>
      </c>
    </row>
    <row r="431" spans="1:3" x14ac:dyDescent="0.2">
      <c r="A431" s="21" t="s">
        <v>222</v>
      </c>
      <c r="C431" s="21" t="s">
        <v>2418</v>
      </c>
    </row>
    <row r="432" spans="1:3" x14ac:dyDescent="0.2">
      <c r="A432" s="21" t="s">
        <v>346</v>
      </c>
      <c r="C432" s="21" t="s">
        <v>2419</v>
      </c>
    </row>
    <row r="433" spans="1:3" x14ac:dyDescent="0.2">
      <c r="A433" s="21" t="s">
        <v>344</v>
      </c>
      <c r="C433" s="21" t="s">
        <v>2420</v>
      </c>
    </row>
    <row r="434" spans="1:3" x14ac:dyDescent="0.2">
      <c r="A434" s="21" t="s">
        <v>342</v>
      </c>
      <c r="C434" s="21" t="s">
        <v>2421</v>
      </c>
    </row>
    <row r="435" spans="1:3" x14ac:dyDescent="0.2">
      <c r="A435" s="21" t="s">
        <v>588</v>
      </c>
      <c r="B435" s="21" t="s">
        <v>2422</v>
      </c>
      <c r="C435" s="21" t="s">
        <v>2423</v>
      </c>
    </row>
    <row r="436" spans="1:3" x14ac:dyDescent="0.2">
      <c r="A436" s="21" t="s">
        <v>370</v>
      </c>
      <c r="C436" s="21" t="s">
        <v>2424</v>
      </c>
    </row>
    <row r="437" spans="1:3" x14ac:dyDescent="0.2">
      <c r="A437" s="21" t="s">
        <v>364</v>
      </c>
      <c r="C437" s="21" t="s">
        <v>2425</v>
      </c>
    </row>
    <row r="438" spans="1:3" x14ac:dyDescent="0.2">
      <c r="A438" s="21" t="s">
        <v>362</v>
      </c>
      <c r="C438" s="21" t="s">
        <v>2426</v>
      </c>
    </row>
    <row r="439" spans="1:3" x14ac:dyDescent="0.2">
      <c r="A439" s="21" t="s">
        <v>465</v>
      </c>
      <c r="B439" s="21" t="s">
        <v>2427</v>
      </c>
      <c r="C439" s="21" t="s">
        <v>2428</v>
      </c>
    </row>
    <row r="440" spans="1:3" x14ac:dyDescent="0.2">
      <c r="A440" s="21" t="s">
        <v>623</v>
      </c>
      <c r="B440" s="21" t="s">
        <v>2429</v>
      </c>
      <c r="C440" s="21" t="s">
        <v>2430</v>
      </c>
    </row>
    <row r="441" spans="1:3" x14ac:dyDescent="0.2">
      <c r="A441" s="21" t="s">
        <v>1157</v>
      </c>
      <c r="B441" s="21" t="s">
        <v>2431</v>
      </c>
      <c r="C441" s="21" t="s">
        <v>2432</v>
      </c>
    </row>
    <row r="442" spans="1:3" x14ac:dyDescent="0.2">
      <c r="A442" s="21" t="s">
        <v>1165</v>
      </c>
      <c r="B442" s="21" t="s">
        <v>2433</v>
      </c>
      <c r="C442" s="21" t="s">
        <v>2434</v>
      </c>
    </row>
    <row r="443" spans="1:3" x14ac:dyDescent="0.2">
      <c r="A443" s="21" t="s">
        <v>1150</v>
      </c>
      <c r="B443" s="21" t="s">
        <v>2435</v>
      </c>
      <c r="C443" s="21" t="s">
        <v>2436</v>
      </c>
    </row>
    <row r="444" spans="1:3" x14ac:dyDescent="0.2">
      <c r="A444" s="21" t="s">
        <v>1143</v>
      </c>
      <c r="B444" s="21" t="s">
        <v>2437</v>
      </c>
      <c r="C444" s="21" t="s">
        <v>2438</v>
      </c>
    </row>
    <row r="445" spans="1:3" x14ac:dyDescent="0.2">
      <c r="A445" s="21" t="s">
        <v>1161</v>
      </c>
      <c r="B445" s="21" t="s">
        <v>2439</v>
      </c>
      <c r="C445" s="21" t="s">
        <v>2440</v>
      </c>
    </row>
    <row r="446" spans="1:3" x14ac:dyDescent="0.2">
      <c r="A446" s="21" t="s">
        <v>29</v>
      </c>
      <c r="C446" s="21" t="s">
        <v>2441</v>
      </c>
    </row>
    <row r="447" spans="1:3" x14ac:dyDescent="0.2">
      <c r="A447" s="21" t="s">
        <v>1169</v>
      </c>
      <c r="B447" s="21" t="s">
        <v>2442</v>
      </c>
      <c r="C447" s="21" t="s">
        <v>2443</v>
      </c>
    </row>
    <row r="448" spans="1:3" x14ac:dyDescent="0.2">
      <c r="A448" s="21" t="s">
        <v>281</v>
      </c>
      <c r="C448" s="21" t="s">
        <v>2444</v>
      </c>
    </row>
    <row r="449" spans="1:3" x14ac:dyDescent="0.2">
      <c r="A449" s="21" t="s">
        <v>290</v>
      </c>
      <c r="C449" s="21" t="s">
        <v>2445</v>
      </c>
    </row>
    <row r="450" spans="1:3" x14ac:dyDescent="0.2">
      <c r="A450" s="21" t="s">
        <v>329</v>
      </c>
      <c r="C450" s="21" t="s">
        <v>2446</v>
      </c>
    </row>
    <row r="451" spans="1:3" x14ac:dyDescent="0.2">
      <c r="A451" s="21" t="s">
        <v>1091</v>
      </c>
      <c r="B451" s="21" t="s">
        <v>2447</v>
      </c>
      <c r="C451" s="21" t="s">
        <v>2448</v>
      </c>
    </row>
    <row r="452" spans="1:3" x14ac:dyDescent="0.2">
      <c r="A452" s="21" t="s">
        <v>1179</v>
      </c>
      <c r="B452" s="21" t="s">
        <v>2449</v>
      </c>
      <c r="C452" s="21" t="s">
        <v>2450</v>
      </c>
    </row>
    <row r="453" spans="1:3" x14ac:dyDescent="0.2">
      <c r="A453" s="21" t="s">
        <v>1057</v>
      </c>
      <c r="B453" s="21" t="s">
        <v>2451</v>
      </c>
      <c r="C453" s="21" t="s">
        <v>2452</v>
      </c>
    </row>
    <row r="454" spans="1:3" x14ac:dyDescent="0.2">
      <c r="A454" s="21" t="s">
        <v>240</v>
      </c>
      <c r="C454" s="21" t="s">
        <v>2453</v>
      </c>
    </row>
    <row r="455" spans="1:3" x14ac:dyDescent="0.2">
      <c r="A455" s="21" t="s">
        <v>150</v>
      </c>
      <c r="C455" s="21" t="s">
        <v>2454</v>
      </c>
    </row>
    <row r="456" spans="1:3" x14ac:dyDescent="0.2">
      <c r="A456" s="21" t="s">
        <v>1710</v>
      </c>
      <c r="C456" s="21" t="s">
        <v>2455</v>
      </c>
    </row>
    <row r="457" spans="1:3" x14ac:dyDescent="0.2">
      <c r="A457" s="21" t="s">
        <v>1487</v>
      </c>
      <c r="B457" s="21" t="s">
        <v>2456</v>
      </c>
      <c r="C457" s="21" t="s">
        <v>2457</v>
      </c>
    </row>
    <row r="458" spans="1:3" x14ac:dyDescent="0.2">
      <c r="A458" s="21" t="s">
        <v>1709</v>
      </c>
      <c r="C458" s="21" t="s">
        <v>2458</v>
      </c>
    </row>
    <row r="459" spans="1:3" x14ac:dyDescent="0.2">
      <c r="A459" s="21" t="s">
        <v>23</v>
      </c>
      <c r="C459" s="21" t="s">
        <v>2459</v>
      </c>
    </row>
    <row r="460" spans="1:3" x14ac:dyDescent="0.2">
      <c r="A460" s="21" t="s">
        <v>822</v>
      </c>
      <c r="C460" s="21" t="s">
        <v>2460</v>
      </c>
    </row>
    <row r="461" spans="1:3" x14ac:dyDescent="0.2">
      <c r="A461" s="21" t="s">
        <v>182</v>
      </c>
      <c r="C461" s="21" t="s">
        <v>2461</v>
      </c>
    </row>
    <row r="462" spans="1:3" x14ac:dyDescent="0.2">
      <c r="A462" s="21" t="s">
        <v>843</v>
      </c>
      <c r="B462" s="21" t="s">
        <v>2462</v>
      </c>
      <c r="C462" s="21" t="s">
        <v>2463</v>
      </c>
    </row>
    <row r="463" spans="1:3" x14ac:dyDescent="0.2">
      <c r="A463" s="21" t="s">
        <v>839</v>
      </c>
      <c r="B463" s="21" t="s">
        <v>2464</v>
      </c>
      <c r="C463" s="21" t="s">
        <v>2465</v>
      </c>
    </row>
    <row r="464" spans="1:3" x14ac:dyDescent="0.2">
      <c r="A464" s="21" t="s">
        <v>736</v>
      </c>
      <c r="B464" s="21" t="s">
        <v>2466</v>
      </c>
      <c r="C464" s="21" t="s">
        <v>2467</v>
      </c>
    </row>
    <row r="465" spans="1:3" x14ac:dyDescent="0.2">
      <c r="A465" s="21" t="s">
        <v>1361</v>
      </c>
      <c r="B465" s="21" t="s">
        <v>2468</v>
      </c>
      <c r="C465" s="21" t="s">
        <v>2469</v>
      </c>
    </row>
    <row r="466" spans="1:3" x14ac:dyDescent="0.2">
      <c r="A466" s="21" t="s">
        <v>1274</v>
      </c>
      <c r="B466" s="21" t="s">
        <v>2470</v>
      </c>
      <c r="C466" s="21" t="s">
        <v>2471</v>
      </c>
    </row>
    <row r="467" spans="1:3" x14ac:dyDescent="0.2">
      <c r="A467" s="21" t="s">
        <v>1314</v>
      </c>
      <c r="B467" s="21" t="s">
        <v>2472</v>
      </c>
      <c r="C467" s="21" t="s">
        <v>2473</v>
      </c>
    </row>
    <row r="468" spans="1:3" x14ac:dyDescent="0.2">
      <c r="A468" s="21" t="s">
        <v>1436</v>
      </c>
      <c r="B468" s="21" t="s">
        <v>2474</v>
      </c>
      <c r="C468" s="21" t="s">
        <v>2475</v>
      </c>
    </row>
    <row r="469" spans="1:3" x14ac:dyDescent="0.2">
      <c r="A469" s="21" t="s">
        <v>1306</v>
      </c>
      <c r="B469" s="21" t="s">
        <v>2476</v>
      </c>
      <c r="C469" s="21" t="s">
        <v>2477</v>
      </c>
    </row>
    <row r="470" spans="1:3" x14ac:dyDescent="0.2">
      <c r="A470" s="21" t="s">
        <v>1403</v>
      </c>
      <c r="B470" s="21" t="s">
        <v>2478</v>
      </c>
      <c r="C470" s="21" t="s">
        <v>2479</v>
      </c>
    </row>
    <row r="471" spans="1:3" x14ac:dyDescent="0.2">
      <c r="A471" s="21" t="s">
        <v>1411</v>
      </c>
      <c r="B471" s="21" t="s">
        <v>2480</v>
      </c>
      <c r="C471" s="21" t="s">
        <v>2481</v>
      </c>
    </row>
    <row r="472" spans="1:3" x14ac:dyDescent="0.2">
      <c r="A472" s="21" t="s">
        <v>1399</v>
      </c>
      <c r="B472" s="21" t="s">
        <v>2482</v>
      </c>
      <c r="C472" s="21" t="s">
        <v>2483</v>
      </c>
    </row>
    <row r="473" spans="1:3" x14ac:dyDescent="0.2">
      <c r="A473" s="21" t="s">
        <v>1246</v>
      </c>
      <c r="B473" s="21" t="s">
        <v>2484</v>
      </c>
      <c r="C473" s="21" t="s">
        <v>2485</v>
      </c>
    </row>
    <row r="474" spans="1:3" x14ac:dyDescent="0.2">
      <c r="A474" s="21" t="s">
        <v>1242</v>
      </c>
      <c r="B474" s="21" t="s">
        <v>2486</v>
      </c>
      <c r="C474" s="21" t="s">
        <v>2487</v>
      </c>
    </row>
    <row r="475" spans="1:3" x14ac:dyDescent="0.2">
      <c r="A475" s="21" t="s">
        <v>1325</v>
      </c>
      <c r="B475" s="21" t="s">
        <v>2488</v>
      </c>
      <c r="C475" s="21" t="s">
        <v>2489</v>
      </c>
    </row>
    <row r="476" spans="1:3" x14ac:dyDescent="0.2">
      <c r="A476" s="21" t="s">
        <v>128</v>
      </c>
      <c r="B476" s="21" t="s">
        <v>2490</v>
      </c>
      <c r="C476" s="21" t="s">
        <v>2491</v>
      </c>
    </row>
    <row r="477" spans="1:3" x14ac:dyDescent="0.2">
      <c r="A477" s="21" t="s">
        <v>122</v>
      </c>
      <c r="B477" s="21" t="s">
        <v>2492</v>
      </c>
      <c r="C477" s="21" t="s">
        <v>2493</v>
      </c>
    </row>
    <row r="478" spans="1:3" x14ac:dyDescent="0.2">
      <c r="A478" s="21" t="s">
        <v>1211</v>
      </c>
      <c r="B478" s="21" t="s">
        <v>2494</v>
      </c>
      <c r="C478" s="21" t="s">
        <v>2495</v>
      </c>
    </row>
    <row r="479" spans="1:3" x14ac:dyDescent="0.2">
      <c r="A479" s="21" t="s">
        <v>1219</v>
      </c>
      <c r="B479" s="21" t="s">
        <v>2496</v>
      </c>
      <c r="C479" s="21" t="s">
        <v>2497</v>
      </c>
    </row>
    <row r="480" spans="1:3" x14ac:dyDescent="0.2">
      <c r="A480" s="21" t="s">
        <v>1235</v>
      </c>
      <c r="B480" s="21" t="s">
        <v>2498</v>
      </c>
      <c r="C480" s="21" t="s">
        <v>2499</v>
      </c>
    </row>
    <row r="481" spans="1:3" x14ac:dyDescent="0.2">
      <c r="A481" s="21" t="s">
        <v>766</v>
      </c>
      <c r="B481" s="21" t="s">
        <v>2500</v>
      </c>
      <c r="C481" s="21" t="s">
        <v>2501</v>
      </c>
    </row>
    <row r="482" spans="1:3" x14ac:dyDescent="0.2">
      <c r="A482" s="21" t="s">
        <v>788</v>
      </c>
      <c r="B482" s="21" t="s">
        <v>2502</v>
      </c>
      <c r="C482" s="21" t="s">
        <v>2503</v>
      </c>
    </row>
    <row r="483" spans="1:3" x14ac:dyDescent="0.2">
      <c r="A483" s="21" t="s">
        <v>781</v>
      </c>
      <c r="B483" s="21" t="s">
        <v>2504</v>
      </c>
      <c r="C483" s="21" t="s">
        <v>2505</v>
      </c>
    </row>
    <row r="484" spans="1:3" x14ac:dyDescent="0.2">
      <c r="A484" s="21" t="s">
        <v>762</v>
      </c>
      <c r="B484" s="21" t="s">
        <v>2506</v>
      </c>
      <c r="C484" s="21" t="s">
        <v>2507</v>
      </c>
    </row>
    <row r="485" spans="1:3" x14ac:dyDescent="0.2">
      <c r="A485" s="21" t="s">
        <v>770</v>
      </c>
      <c r="B485" s="21" t="s">
        <v>2508</v>
      </c>
      <c r="C485" s="21" t="s">
        <v>2509</v>
      </c>
    </row>
    <row r="486" spans="1:3" x14ac:dyDescent="0.2">
      <c r="A486" s="21" t="s">
        <v>791</v>
      </c>
      <c r="B486" s="21" t="s">
        <v>2510</v>
      </c>
      <c r="C486" s="21" t="s">
        <v>2511</v>
      </c>
    </row>
    <row r="487" spans="1:3" x14ac:dyDescent="0.2">
      <c r="A487" s="21" t="s">
        <v>758</v>
      </c>
      <c r="B487" s="21" t="s">
        <v>2512</v>
      </c>
      <c r="C487" s="21" t="s">
        <v>2513</v>
      </c>
    </row>
    <row r="488" spans="1:3" x14ac:dyDescent="0.2">
      <c r="A488" s="21" t="s">
        <v>784</v>
      </c>
      <c r="B488" s="21" t="s">
        <v>2514</v>
      </c>
      <c r="C488" s="21" t="s">
        <v>2515</v>
      </c>
    </row>
    <row r="489" spans="1:3" x14ac:dyDescent="0.2">
      <c r="A489" s="21" t="s">
        <v>184</v>
      </c>
      <c r="C489" s="21" t="s">
        <v>2516</v>
      </c>
    </row>
    <row r="490" spans="1:3" x14ac:dyDescent="0.2">
      <c r="A490" s="21" t="s">
        <v>135</v>
      </c>
      <c r="C490" s="21" t="s">
        <v>2517</v>
      </c>
    </row>
    <row r="491" spans="1:3" x14ac:dyDescent="0.2">
      <c r="A491" s="21" t="s">
        <v>1704</v>
      </c>
      <c r="C491" s="21" t="s">
        <v>2518</v>
      </c>
    </row>
    <row r="492" spans="1:3" x14ac:dyDescent="0.2">
      <c r="A492" s="21" t="s">
        <v>1688</v>
      </c>
      <c r="B492" s="21" t="s">
        <v>2519</v>
      </c>
      <c r="C492" s="21" t="s">
        <v>2520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product_nodes_new_id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Christoffer Ole Olsen</dc:creator>
  <cp:lastModifiedBy>Casper V. Sørensen</cp:lastModifiedBy>
  <dcterms:created xsi:type="dcterms:W3CDTF">2024-04-12T11:18:50Z</dcterms:created>
  <dcterms:modified xsi:type="dcterms:W3CDTF">2025-10-22T20:56:30Z</dcterms:modified>
</cp:coreProperties>
</file>