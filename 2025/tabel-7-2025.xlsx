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oten124-my.sharepoint.com/personal/cvs_koten_dk/Documents/Koten - Docs/04 - Materialer/"/>
    </mc:Choice>
  </mc:AlternateContent>
  <xr:revisionPtr revIDLastSave="179" documentId="8_{283F3CB2-7686-4EBF-8957-F217B9D2980D}" xr6:coauthVersionLast="47" xr6:coauthVersionMax="47" xr10:uidLastSave="{E4EC4E5F-F49B-4AE6-813B-C8059D18900E}"/>
  <bookViews>
    <workbookView xWindow="-120" yWindow="-120" windowWidth="38640" windowHeight="21120" xr2:uid="{00000000-000D-0000-FFFF-FFFF00000000}"/>
  </bookViews>
  <sheets>
    <sheet name="Sheet1" sheetId="1" r:id="rId1"/>
    <sheet name="product_nodes_new_i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4" i="1"/>
  <c r="E135" i="1"/>
  <c r="E136" i="1"/>
  <c r="E137" i="1"/>
  <c r="E138" i="1"/>
  <c r="E139" i="1"/>
  <c r="E140" i="1"/>
  <c r="E141" i="1"/>
  <c r="E142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</calcChain>
</file>

<file path=xl/sharedStrings.xml><?xml version="1.0" encoding="utf-8"?>
<sst xmlns="http://schemas.openxmlformats.org/spreadsheetml/2006/main" count="4184" uniqueCount="2239">
  <si>
    <t>Sorterings ID</t>
  </si>
  <si>
    <t>Data type</t>
  </si>
  <si>
    <t>Navn DE/ENG</t>
  </si>
  <si>
    <t>Navn DK</t>
  </si>
  <si>
    <t>Global Opvarmning, modul A1-A3</t>
  </si>
  <si>
    <t>Global Opvarmning, modul C3</t>
  </si>
  <si>
    <t>Global Opvarmning, modul C4</t>
  </si>
  <si>
    <t>Global Opvarmning, modul D</t>
  </si>
  <si>
    <t>Deklareret faktor (FU)</t>
  </si>
  <si>
    <t>Deklareret enhed (FU)</t>
  </si>
  <si>
    <t>Masse faktor</t>
  </si>
  <si>
    <t>Url (link)</t>
  </si>
  <si>
    <t>Kommentar</t>
  </si>
  <si>
    <t>#B1632</t>
  </si>
  <si>
    <t>Branche data</t>
  </si>
  <si>
    <t>Circular ventilation ducts</t>
  </si>
  <si>
    <t>kg</t>
  </si>
  <si>
    <t>kg/kg</t>
  </si>
  <si>
    <t>https://www.epddanmark.dk/media/xvdjagkr/md-23022-en.pdf</t>
  </si>
  <si>
    <t>#B1633</t>
  </si>
  <si>
    <t>https://www.epddanmark.dk/media/oe1b3bgs/md-23023-en.pdf</t>
  </si>
  <si>
    <t>-</t>
  </si>
  <si>
    <t>Trævindue med 3-lags rude</t>
  </si>
  <si>
    <t>kg/m²</t>
  </si>
  <si>
    <t>https://www.epddanmark.dk/media/4pnfnax3/md-22039-da.pdf</t>
  </si>
  <si>
    <t>Plastvindue med glasfiberforstærket profil (FRP) og 3-lags rude</t>
  </si>
  <si>
    <t>https://www.epddanmark.dk/media/msth4oem/md-22042-da.pdf</t>
  </si>
  <si>
    <t>Træ-alu vindue med 3-lags rude</t>
  </si>
  <si>
    <t>https://www.epddanmark.dk/media/m2bfi4ei/md-22040-da.pdf</t>
  </si>
  <si>
    <t>Plastvindue i hård PVC med stålindlæg i profilet og 3-lags rude</t>
  </si>
  <si>
    <t>https://www.epddanmark.dk/media/44tddsrk/md-22041-da.pdf</t>
  </si>
  <si>
    <t>#B1397</t>
  </si>
  <si>
    <t>Letbeton vægelement, 100 mm tyk væg, 10% udsparinger</t>
  </si>
  <si>
    <t>https://www.epddanmark.dk/media/niyexcvm/md-20016-da_rev1-betonelement-foreningen.pdf</t>
  </si>
  <si>
    <t>#B1401</t>
  </si>
  <si>
    <t>Letbeton vægelement, 150 mm tyk væg, 10% udsparinger</t>
  </si>
  <si>
    <t>#B1413</t>
  </si>
  <si>
    <t>TT-element/Ribbedæk, TTS90 med 16-22 STK. L12,5 liner, og 1-2,5 kg slap armering</t>
  </si>
  <si>
    <t>https://www.epddanmark.dk/media/jylpjfbu/md-20018-da_rev2.pdf</t>
  </si>
  <si>
    <t>#B1385</t>
  </si>
  <si>
    <t>https://www.epddanmark.dk/media/oq0dzm1j/md-20015-da_rev1-betonelement-foreningen.pdf</t>
  </si>
  <si>
    <t>#B1409</t>
  </si>
  <si>
    <t>TT-element/Ribbedæk, TT60 med 12-18 STK. L12,5 liner, og 1,3-3,3 kg slap armering</t>
  </si>
  <si>
    <t>#B1417</t>
  </si>
  <si>
    <t>TT-element/Ribbedæk, TT60 med 20-28 STK. L12,5 liner, og 2-4 kg slap armering</t>
  </si>
  <si>
    <t>#B1346</t>
  </si>
  <si>
    <t>Huldæk element, 22 cm, 6-10 forspændingsliner</t>
  </si>
  <si>
    <t>https://www.epddanmark.dk/media/ksolk4dz/md-20017-da_rev2-betonelement-foreningen.pdf</t>
  </si>
  <si>
    <t>#B1405</t>
  </si>
  <si>
    <t>Letbeton vægelement, 220 mm tyk væg, 10% udsparinger</t>
  </si>
  <si>
    <t>#B1389</t>
  </si>
  <si>
    <t>Beton vægelementer, 20 cm tyk væg med 5-15 kg armering (11% udsparinger)</t>
  </si>
  <si>
    <t>#B1393</t>
  </si>
  <si>
    <t>Beton vægelementer, 20 cm tyk væg med 16-25 kg armering (11% udsparinger)</t>
  </si>
  <si>
    <t>#B1354</t>
  </si>
  <si>
    <t>Huldæk element, 32 cm, 11-17 forspændingsliner</t>
  </si>
  <si>
    <t>#B1350</t>
  </si>
  <si>
    <t>Huldæk element, 32 cm, 6-10 forspændingsliner</t>
  </si>
  <si>
    <t>#B1381</t>
  </si>
  <si>
    <t>Sandwichelement med EPS (Facade)</t>
  </si>
  <si>
    <t>https://www.epddanmark.dk/media/0bpbhpbl/md-20019-da_rev2.pdf</t>
  </si>
  <si>
    <t>#B1377</t>
  </si>
  <si>
    <t>Sandwichelement med mineraluld (Facade)</t>
  </si>
  <si>
    <t>#B1366</t>
  </si>
  <si>
    <t>Letklinkerblok med grå EPS isolering</t>
  </si>
  <si>
    <t>kg/m³</t>
  </si>
  <si>
    <t>https://www.epddanmark.dk/media/n5xnbcl5/md-20023-da_rev1-dansk-beton-blokforeningen.pdf</t>
  </si>
  <si>
    <t>#B1362</t>
  </si>
  <si>
    <t>Letklinkerblok med hvid EPS isolering</t>
  </si>
  <si>
    <t>#B1370</t>
  </si>
  <si>
    <t>Konstruktionstræ af fyr og gran, Høvlet (Forbrænding EoL)</t>
  </si>
  <si>
    <t>https://www.epddanmark.dk/media/l4zjf2xp/md-20004-en_rev1_tr%c3%a6dk.pdf</t>
  </si>
  <si>
    <t>#B1489</t>
  </si>
  <si>
    <t>Konstruktionstræ af fyr og gran, Savede og tørrede (Forbrænding EoL)</t>
  </si>
  <si>
    <t>https://www.epddanmark.dk/media/vf0jy3ur/md-20002-en-tr%C3%A6-dk-c-o-tr%C3%A6-og-m%C3%B8belindustrien.pdf</t>
  </si>
  <si>
    <t>#B1318</t>
  </si>
  <si>
    <t>Krydslamineret træ, CLT (Forbrænding EoL)</t>
  </si>
  <si>
    <t>https://www.epddanmark.dk/media/tmwhxyym/md-20007-en_rev1_tr%c3%a6dk.pdf</t>
  </si>
  <si>
    <t>#B1496</t>
  </si>
  <si>
    <t>Krydsfiner, ubehandlet (Forbrænding EoL)</t>
  </si>
  <si>
    <t>https://www.epddanmark.dk/media/luijc3vg/md-20008-en_rev2_tr%c3%a6dk.pdf</t>
  </si>
  <si>
    <t>#B1339</t>
  </si>
  <si>
    <t>Limtræs-produkter af fyr og gran, (Forbrænding EoL)</t>
  </si>
  <si>
    <t>https://www.epddanmark.dk/media/hzjhj3s2/md-20005-en_rev1_tr%c3%a6dk.pdf</t>
  </si>
  <si>
    <t>#B1325</t>
  </si>
  <si>
    <t>Konstruktionstræ af nåletræ, Høvlet (Forbrænding EoL)</t>
  </si>
  <si>
    <t>https://www.epddanmark.dk/media/4p1frhby/md-20003-en-tr%c3%a6-dk-c-o-tr%c3%a6-og-m%c3%b8belindustrien.pdf</t>
  </si>
  <si>
    <t>#B1358</t>
  </si>
  <si>
    <t>Letklinkerblok, Massiv</t>
  </si>
  <si>
    <t>#B1332</t>
  </si>
  <si>
    <t>Konstruktionstræ af nåletræ, utørret og opsavet (Forbrænding EoL)</t>
  </si>
  <si>
    <t>https://www.epddanmark.dk/media/oxujrihc/md-20001-en-tr%c3%a6-dk-c-o-tr%c3%a6-og-m%c3%b8belindustrien.pdf</t>
  </si>
  <si>
    <t>#B1425</t>
  </si>
  <si>
    <t>Fabriksbeton (C20/25 SCC) i eksponeringsklasserne X0 og XC1</t>
  </si>
  <si>
    <t>https://www.epddanmark.dk/media/qoelm3vd/md-20011-da_rev1-dansk-beton-fabriksbetonforeningen.pdf</t>
  </si>
  <si>
    <t>#B1469</t>
  </si>
  <si>
    <t>Fabriksbeton C45/55</t>
  </si>
  <si>
    <t>https://www.epddanmark.dk/media/oz1jfz20/md-20014-da_rev1-dansk-beton-fabriksbetonforeningen.pdf</t>
  </si>
  <si>
    <t>#B1433</t>
  </si>
  <si>
    <t>Fabriksbeton (C25/30) i eksponeringsklasserne X0 og XC1</t>
  </si>
  <si>
    <t>#B1485</t>
  </si>
  <si>
    <t>Fabriksbeton C35/45 SCC</t>
  </si>
  <si>
    <t>https://www.epddanmark.dk/media/c3alzank/md-20012-da_rev1-dansk-beton-fabriksbetonforeningen.pdf</t>
  </si>
  <si>
    <t>#B1477</t>
  </si>
  <si>
    <t>Fabriksbeton C30/37</t>
  </si>
  <si>
    <t>#B1445</t>
  </si>
  <si>
    <t>Fabriksbeton C35/45 (fugebeton)</t>
  </si>
  <si>
    <t>https://www.epddanmark.dk/media/nvwgry4v/md-20013-da_rev1-dansk-beton-fabriksbetonforeningen.pdf</t>
  </si>
  <si>
    <t>#B1441</t>
  </si>
  <si>
    <t>Fabriksbeton C35/45 – CEM I</t>
  </si>
  <si>
    <t>#B1461</t>
  </si>
  <si>
    <t>Fabriksbeton C40/50 – CEM I</t>
  </si>
  <si>
    <t>#B1453</t>
  </si>
  <si>
    <t>Fabriksbeton C40/50 – CEM I SR-5</t>
  </si>
  <si>
    <t>#B1437</t>
  </si>
  <si>
    <t>Fabriksbeton C35/45 – CEM I SR-5</t>
  </si>
  <si>
    <t>#B1637</t>
  </si>
  <si>
    <t>Small AHU’s with airflow 3000 m3/hr</t>
  </si>
  <si>
    <t>Ventilations aggregater (AHU), 3000m3/h </t>
  </si>
  <si>
    <t>stk</t>
  </si>
  <si>
    <t>kg/stk.</t>
  </si>
  <si>
    <t>https://www.epddanmark.dk/media/43kpnonw/md-23024-en.pdf</t>
  </si>
  <si>
    <t>#B1638</t>
  </si>
  <si>
    <t>Large AHU’s with airflow 15,000 m3/hr</t>
  </si>
  <si>
    <t>Ventilations aggregater (AHU), 15000m3/h </t>
  </si>
  <si>
    <t>#D1586</t>
  </si>
  <si>
    <t>Dansk generisk data</t>
  </si>
  <si>
    <t>g/cm³</t>
  </si>
  <si>
    <t>https://vbn.aau.dk/da/publications/udvikling-af-dansk-generisk-lca-data?</t>
  </si>
  <si>
    <t>#D1587</t>
  </si>
  <si>
    <t>Vådrumsmembran</t>
  </si>
  <si>
    <t>#D1588</t>
  </si>
  <si>
    <t>Primere og bindere</t>
  </si>
  <si>
    <t>#D1589</t>
  </si>
  <si>
    <t>Montagelim</t>
  </si>
  <si>
    <t>#D1568</t>
  </si>
  <si>
    <t>PU fugeskum</t>
  </si>
  <si>
    <t>#D1601</t>
  </si>
  <si>
    <t>kg/dm³</t>
  </si>
  <si>
    <t>#D1603</t>
  </si>
  <si>
    <t>Fjernvarmeanlæg</t>
  </si>
  <si>
    <t>#D1623</t>
  </si>
  <si>
    <t>Papiruldsisolering, granulat</t>
  </si>
  <si>
    <t>#D1531</t>
  </si>
  <si>
    <t>Træfiberplade, vindspærre</t>
  </si>
  <si>
    <t>#D1582</t>
  </si>
  <si>
    <t>Mørtel, fliseklæb</t>
  </si>
  <si>
    <t>#D1584</t>
  </si>
  <si>
    <t>Støbemasse</t>
  </si>
  <si>
    <t>#D1616</t>
  </si>
  <si>
    <t>Tagrende, stål</t>
  </si>
  <si>
    <t>m</t>
  </si>
  <si>
    <t>kg/m</t>
  </si>
  <si>
    <t>#D1614</t>
  </si>
  <si>
    <t>Betonrør, u-armeret</t>
  </si>
  <si>
    <t>#D1608</t>
  </si>
  <si>
    <t>PEX rør, brugsvand, rør i rør, 12 mm</t>
  </si>
  <si>
    <t>m (12 mm)</t>
  </si>
  <si>
    <t>#D1609</t>
  </si>
  <si>
    <t>PEX rør, brugsvand, rør i rør, 15 mm</t>
  </si>
  <si>
    <t>m (15 mm)</t>
  </si>
  <si>
    <t>#D1612</t>
  </si>
  <si>
    <t>PEX rør, gulvvarme, 16 mm</t>
  </si>
  <si>
    <t>m (16 mm)</t>
  </si>
  <si>
    <t>#D1610</t>
  </si>
  <si>
    <t>PEX rør, brugsvand, rør i rør, 18 mm</t>
  </si>
  <si>
    <t>m (18 mm)</t>
  </si>
  <si>
    <t>#D1613</t>
  </si>
  <si>
    <t>PEX rør, gulvvarme, 20 mm</t>
  </si>
  <si>
    <t>m (20 mm)</t>
  </si>
  <si>
    <t>#D1611</t>
  </si>
  <si>
    <t>PEX rør, brugsvand, rør i rør, 22 mm</t>
  </si>
  <si>
    <t>m (22 mm)</t>
  </si>
  <si>
    <t>#D1506</t>
  </si>
  <si>
    <t>Undertag, PP-membran</t>
  </si>
  <si>
    <t>#D1602</t>
  </si>
  <si>
    <t>Vinyl</t>
  </si>
  <si>
    <t>#D1504</t>
  </si>
  <si>
    <t>Tagpap, damp- og flammespærre</t>
  </si>
  <si>
    <t>#D1606</t>
  </si>
  <si>
    <t>Solcellepanel, tyndfilm</t>
  </si>
  <si>
    <t>#D1503</t>
  </si>
  <si>
    <t>Tagpap, underpap</t>
  </si>
  <si>
    <t>#D1502</t>
  </si>
  <si>
    <t>Tagpap, overpap</t>
  </si>
  <si>
    <t>#D1607</t>
  </si>
  <si>
    <t>Solafskærmning, screen</t>
  </si>
  <si>
    <t>#D1516</t>
  </si>
  <si>
    <t>#D1519</t>
  </si>
  <si>
    <t>#D1518</t>
  </si>
  <si>
    <t>#D1521</t>
  </si>
  <si>
    <t>#D1501</t>
  </si>
  <si>
    <t>Tagpap, overpap + underpap</t>
  </si>
  <si>
    <t>#D1605</t>
  </si>
  <si>
    <t>Solcellepanel, polykrystallinsk</t>
  </si>
  <si>
    <t>#D1514</t>
  </si>
  <si>
    <t>Fibercementplade</t>
  </si>
  <si>
    <t>#D1604</t>
  </si>
  <si>
    <t>Solcellepanel, monokrystallinsk</t>
  </si>
  <si>
    <t>#D1500</t>
  </si>
  <si>
    <t>Tagsten, beton</t>
  </si>
  <si>
    <t>#D1629</t>
  </si>
  <si>
    <t>Træfiberplade, trinlyd, tykkelse 30 - 40 mm</t>
  </si>
  <si>
    <t>#D1630</t>
  </si>
  <si>
    <t>#D1631</t>
  </si>
  <si>
    <t>#D1559</t>
  </si>
  <si>
    <t>#D1560</t>
  </si>
  <si>
    <t>#D1556</t>
  </si>
  <si>
    <t>#D1557</t>
  </si>
  <si>
    <t>#D1561</t>
  </si>
  <si>
    <t>#D1545</t>
  </si>
  <si>
    <t>Mineraluld, granulat, kl. 37</t>
  </si>
  <si>
    <t>#D1544</t>
  </si>
  <si>
    <t>Mineraluld, granulat, kl. 34</t>
  </si>
  <si>
    <t>#D1546</t>
  </si>
  <si>
    <t>Mineraluld, granulat, kl. 42</t>
  </si>
  <si>
    <t>#D1534</t>
  </si>
  <si>
    <t>Mineraluld, fleksibel isolering, kl. 34</t>
  </si>
  <si>
    <t>#D1533</t>
  </si>
  <si>
    <t>Mineraluld, fleksibel isolering, kl. 32</t>
  </si>
  <si>
    <t>#D1541</t>
  </si>
  <si>
    <t>Mineraluld, murbatts, kl. 37</t>
  </si>
  <si>
    <t>#D1535</t>
  </si>
  <si>
    <t>Mineraluld, fleksibel isolering, kl. 37</t>
  </si>
  <si>
    <t>#D1537</t>
  </si>
  <si>
    <t>Mineraluld, hård isolering, kl. 37</t>
  </si>
  <si>
    <t>#D1543</t>
  </si>
  <si>
    <t>Mineraluld, granulat, kl. 32</t>
  </si>
  <si>
    <t>#D1566</t>
  </si>
  <si>
    <t>PIR Isolering</t>
  </si>
  <si>
    <t>#D1565</t>
  </si>
  <si>
    <t>#D1540</t>
  </si>
  <si>
    <t>Mineraluld, murbatts, kl. 34</t>
  </si>
  <si>
    <t>#D1626</t>
  </si>
  <si>
    <t>Træfiberisolering, løsuld</t>
  </si>
  <si>
    <t>#D1552</t>
  </si>
  <si>
    <t>Mineraluld, teknisk isolering</t>
  </si>
  <si>
    <t>#D1539</t>
  </si>
  <si>
    <t>Mineraluld, murbatts, kl. 32</t>
  </si>
  <si>
    <t>#D1627</t>
  </si>
  <si>
    <t>Træfiberisolering, plade</t>
  </si>
  <si>
    <t>#D1532</t>
  </si>
  <si>
    <t>Mineraluld, fleksibel isolering, kl. 30</t>
  </si>
  <si>
    <t>#D1536</t>
  </si>
  <si>
    <t>Mineraluld, hård isolering, kl. 34</t>
  </si>
  <si>
    <t>#D1538</t>
  </si>
  <si>
    <t>Mineraluld, murbatts, kl. 30</t>
  </si>
  <si>
    <t>#D1555</t>
  </si>
  <si>
    <t>Mineraluld, teknisk rørisolering, alufolie</t>
  </si>
  <si>
    <t>#D1549</t>
  </si>
  <si>
    <t>Mineraluld, fladt tag, kl. 36-39</t>
  </si>
  <si>
    <t>#D1542</t>
  </si>
  <si>
    <t>Mineraluld, udv. façade, kl. 40</t>
  </si>
  <si>
    <t>#D1553</t>
  </si>
  <si>
    <t>Mineraluld, akustik isolering</t>
  </si>
  <si>
    <t>#D1550</t>
  </si>
  <si>
    <t>Mineraluld, terrændæk, kl. 35</t>
  </si>
  <si>
    <t>#D1551</t>
  </si>
  <si>
    <t>Mineraluld, terrændæk, kl. 37</t>
  </si>
  <si>
    <t>#D1548</t>
  </si>
  <si>
    <t>Mineraluld, fladt tag, kl. 33-35</t>
  </si>
  <si>
    <t>#D1554</t>
  </si>
  <si>
    <t>Mineraluld, trinlydsplade</t>
  </si>
  <si>
    <t>#D1547</t>
  </si>
  <si>
    <t>Mineraluld, fladt tag, topplade</t>
  </si>
  <si>
    <t>#D1598</t>
  </si>
  <si>
    <t>Letklinker, ekspanderet ler, coated, nødder</t>
  </si>
  <si>
    <t>ton/m³</t>
  </si>
  <si>
    <t>#D1597</t>
  </si>
  <si>
    <t>Letklinker, ekspanderet ler, nødder</t>
  </si>
  <si>
    <t>#D1569</t>
  </si>
  <si>
    <t>Perlite, granulat</t>
  </si>
  <si>
    <t>#D1625</t>
  </si>
  <si>
    <t>Stråtag</t>
  </si>
  <si>
    <t>#D1513</t>
  </si>
  <si>
    <t>Porebeton, isoleringsplade</t>
  </si>
  <si>
    <t>#D1628</t>
  </si>
  <si>
    <t>Træfiberisolering, plade, trykfast</t>
  </si>
  <si>
    <t>#D1512</t>
  </si>
  <si>
    <t>Porebeton</t>
  </si>
  <si>
    <t>#D1615</t>
  </si>
  <si>
    <t>Sandfangsbrønd</t>
  </si>
  <si>
    <t>stk. Ø1000 mm</t>
  </si>
  <si>
    <t>ton</t>
  </si>
  <si>
    <t>#D1497</t>
  </si>
  <si>
    <t>#D1575</t>
  </si>
  <si>
    <t>Pudsemørtel, tør, kalk-cement (KC)</t>
  </si>
  <si>
    <t>#D1573</t>
  </si>
  <si>
    <t>Muremørtel, tør, kalk-cement (KC)</t>
  </si>
  <si>
    <t>#D1574</t>
  </si>
  <si>
    <t>Muremørtel, våd, kalk-cement (KC)</t>
  </si>
  <si>
    <t>#D1507</t>
  </si>
  <si>
    <t>#D1511</t>
  </si>
  <si>
    <t>Kalksandsten</t>
  </si>
  <si>
    <t>#D1580</t>
  </si>
  <si>
    <t>#D1624</t>
  </si>
  <si>
    <t>Slaggegrus</t>
  </si>
  <si>
    <t>#D1571</t>
  </si>
  <si>
    <t>Cement 42,5 MPa</t>
  </si>
  <si>
    <t>#D1572</t>
  </si>
  <si>
    <t>Cement 52,5 MPa</t>
  </si>
  <si>
    <t>#D1591</t>
  </si>
  <si>
    <t>Konstruktionsstål, valsede profiler, lille forarbejdning</t>
  </si>
  <si>
    <t>#D1592</t>
  </si>
  <si>
    <t>Konstruktionsstål, opsvejste stålprofiler, stor forarbejdning</t>
  </si>
  <si>
    <t>#D1593</t>
  </si>
  <si>
    <t>Konstruktionsstål, rørprofiler</t>
  </si>
  <si>
    <t>#D1594</t>
  </si>
  <si>
    <t>Lette stålprofiler og -komponenter</t>
  </si>
  <si>
    <t>#D1595</t>
  </si>
  <si>
    <t>Stål, plade</t>
  </si>
  <si>
    <t>#G0199</t>
  </si>
  <si>
    <t>Generisk data</t>
  </si>
  <si>
    <t>Übergabestation fernwärme</t>
  </si>
  <si>
    <t>https://www.oekobaudat.de/OEKOBAU.DAT/resource/processes/89956dbd-9cd4-4698-8e06-e7292f543246?version=20.23.050</t>
  </si>
  <si>
    <t>#G0085</t>
  </si>
  <si>
    <t>Foamglas® t4+</t>
  </si>
  <si>
    <t>https://oekobaudat.de/OEKOBAU.DAT/resource/datastocks/c391de0f-2cfd-47ea-8883-c661d294e2ba/processes/c93da4c3-94c9-4c86-b092-610cf1cf012f?format=html&amp;lang=en&amp;version=00.10.000</t>
  </si>
  <si>
    <t>#G0092</t>
  </si>
  <si>
    <t>Fassadenfarbe voranstrich dispersion</t>
  </si>
  <si>
    <t>#G0119</t>
  </si>
  <si>
    <t>Abwasserrohr pvc</t>
  </si>
  <si>
    <t>https://www.oekobaudat.de/OEKOBAU.DAT/resource/processes/61e47e03-7a7d-48db-a48a-f5368266f7f5?version=20.23.050</t>
  </si>
  <si>
    <t>#G0138</t>
  </si>
  <si>
    <t>Gips (caso4-beta-halbhydrat)</t>
  </si>
  <si>
    <t>#G0149</t>
  </si>
  <si>
    <t>Kunstharzestrich</t>
  </si>
  <si>
    <t>#G0158</t>
  </si>
  <si>
    <t>Kies 2/32 (getrocknet)</t>
  </si>
  <si>
    <t>https://www.oekobaudat.de/OEKOBAU.DAT/resource/processes/6b1052ed-f1f0-4f35-919b-3884df8da950?version=20.23.050</t>
  </si>
  <si>
    <t>#G0193</t>
  </si>
  <si>
    <t>Schotter 16/32 (getrocknet)</t>
  </si>
  <si>
    <t>#G0203</t>
  </si>
  <si>
    <t>Grauguss bauteil</t>
  </si>
  <si>
    <t>#G0206</t>
  </si>
  <si>
    <t>Messing-bauteil</t>
  </si>
  <si>
    <t>#G0214</t>
  </si>
  <si>
    <t>Tragdeckschicht</t>
  </si>
  <si>
    <t>#G0229</t>
  </si>
  <si>
    <t>Lacksysteme holzfenster grundierung weiß</t>
  </si>
  <si>
    <t>https://www.oekobaudat.de/OEKOBAU.DAT/resource/processes/9b8c0626-bb59-43f5-86dd-97484cc5d4c1?version=20.23.050</t>
  </si>
  <si>
    <t>#G0235</t>
  </si>
  <si>
    <t>Bleibleche</t>
  </si>
  <si>
    <t>#G0284</t>
  </si>
  <si>
    <t>Sanitärkeramik</t>
  </si>
  <si>
    <t>https://www.oekobaudat.de/OEKOBAU.DAT/resource/processes/63c1d882-db0e-42cd-ba84-63adce5deb93?version=20.23.050</t>
  </si>
  <si>
    <t>#G0296</t>
  </si>
  <si>
    <t>Heizkörper</t>
  </si>
  <si>
    <t>https://www.oekobaudat.de/OEKOBAU.DAT/resource/processes/190aaf0f-6599-4886-abf0-b067d4083179?version=20.23.050</t>
  </si>
  <si>
    <t>#G0309</t>
  </si>
  <si>
    <t>Pur-dichtmasse</t>
  </si>
  <si>
    <t>#G0321</t>
  </si>
  <si>
    <t>Sand 0/2 (getrocknet)</t>
  </si>
  <si>
    <t>https://www.oekobaudat.de/OEKOBAU.DAT/resource/processes/2aff655f-5c9b-4d40-8c14-11b366aba6c9?version=20.23.050</t>
  </si>
  <si>
    <t>#G0334</t>
  </si>
  <si>
    <t>Schotter 16/32</t>
  </si>
  <si>
    <t>#G0358</t>
  </si>
  <si>
    <t>Blähschiefer</t>
  </si>
  <si>
    <t>https://www.oekobaudat.de/OEKOBAU.DAT/resource/processes/d908dcf0-4db3-4f92-be60-79c6f5183aca?version=20.23.050</t>
  </si>
  <si>
    <t>#G0376</t>
  </si>
  <si>
    <t>Tetrafluorethan (r134a)</t>
  </si>
  <si>
    <t>#G0386</t>
  </si>
  <si>
    <t>Pufferspeicher (stahl)</t>
  </si>
  <si>
    <t>#G0439</t>
  </si>
  <si>
    <t>Bitumen emulsion (40% bitumen, 60% wasser)</t>
  </si>
  <si>
    <t>#G0449</t>
  </si>
  <si>
    <t>Brechsand 0/2</t>
  </si>
  <si>
    <t>#G0456</t>
  </si>
  <si>
    <t>Stahl schmiedebauteil</t>
  </si>
  <si>
    <t>#G0496</t>
  </si>
  <si>
    <t>Polypropylen-rohr (pp)</t>
  </si>
  <si>
    <t>#G0551</t>
  </si>
  <si>
    <t>Edelstahlblech</t>
  </si>
  <si>
    <t>#G0552</t>
  </si>
  <si>
    <t>Kunststoffprofil cr (chloropren-kautschuk)</t>
  </si>
  <si>
    <t>#G0558</t>
  </si>
  <si>
    <t>Asphalttragschicht</t>
  </si>
  <si>
    <t>#G0563</t>
  </si>
  <si>
    <t>Parkettlack grundierung, holz, wasserverdünnt</t>
  </si>
  <si>
    <t>https://www.oekobaudat.de/OEKOBAU.DAT/resource/processes/b97c7ace-c925-4c13-be59-d338fcc77f6b?version=20.23.050</t>
  </si>
  <si>
    <t>#G0581</t>
  </si>
  <si>
    <t>Fassadenfarbe silikonharzfarbe</t>
  </si>
  <si>
    <t>#G0606</t>
  </si>
  <si>
    <t>Kalkfarbe</t>
  </si>
  <si>
    <t>#G0611</t>
  </si>
  <si>
    <t>Abwasserrohr pp</t>
  </si>
  <si>
    <t>https://www.oekobaudat.de/OEKOBAU.DAT/resource/processes/88558ef9-479f-405e-9e94-e36f817a3620?version=20.23.050</t>
  </si>
  <si>
    <t>#G0629</t>
  </si>
  <si>
    <t>Kunststoffprofil silikon</t>
  </si>
  <si>
    <t>#G0656</t>
  </si>
  <si>
    <t>Polycarbonatplatte</t>
  </si>
  <si>
    <t>#G0684</t>
  </si>
  <si>
    <t>Schornstein polypropylen (pp)</t>
  </si>
  <si>
    <t>#G0722</t>
  </si>
  <si>
    <t>Gips (caso4-alpha-halbhydrat)</t>
  </si>
  <si>
    <t>#G0740</t>
  </si>
  <si>
    <t>Betonrohr, bewehrt</t>
  </si>
  <si>
    <t>#G0767</t>
  </si>
  <si>
    <t>Stahl warmgewalzte bleche (2-20mm)</t>
  </si>
  <si>
    <t>#G0775</t>
  </si>
  <si>
    <t>Edelstahl-trinkwasserrohr</t>
  </si>
  <si>
    <t>https://www.oekobaudat.de/OEKOBAU.DAT/resource/processes/d8d0942a-0c4e-49e0-bd78-abc84a41fd80?version=20.23.050</t>
  </si>
  <si>
    <t>#G0807</t>
  </si>
  <si>
    <t>Trinkwasserrohr pb</t>
  </si>
  <si>
    <t>#G0812</t>
  </si>
  <si>
    <t>Perlite 0-3</t>
  </si>
  <si>
    <t>#G0821</t>
  </si>
  <si>
    <t>Kleber für gipsplatten</t>
  </si>
  <si>
    <t>https://www.oekobaudat.de/OEKOBAU.DAT/resource/processes/fc442d0a-fbc4-4304-ace8-24304756e2df?version=20.23.050</t>
  </si>
  <si>
    <t>#G0839</t>
  </si>
  <si>
    <t>Lehmpulver</t>
  </si>
  <si>
    <t>#G0856</t>
  </si>
  <si>
    <t>Voranstrich (silikonharz)</t>
  </si>
  <si>
    <t>https://www.oekobaudat.de/OEKOBAU.DAT/resource/processes/8ad88978-affe-46c4-9e69-73a886779876?version=20.23.050</t>
  </si>
  <si>
    <t>#G0880</t>
  </si>
  <si>
    <t>Calciumsulfatestrich</t>
  </si>
  <si>
    <t>#G0906</t>
  </si>
  <si>
    <t>Lacksysteme holzfenster decklack weiß</t>
  </si>
  <si>
    <t>https://www.oekobaudat.de/OEKOBAU.DAT/resource/processes/9a0a1631-fccc-43bc-8911-817cbb79f49b?version=20.23.050</t>
  </si>
  <si>
    <t>#G0939</t>
  </si>
  <si>
    <t>Kältemittel r404a</t>
  </si>
  <si>
    <t>https://www.oekobaudat.de/OEKOBAU.DAT/resource/processes/c3ed198f-1951-4bc2-8802-372454e9b4a2?version=20.23.050</t>
  </si>
  <si>
    <t>#G0970</t>
  </si>
  <si>
    <t>Lacksysteme holzfassade halb-pigmentiert (lasursystem)</t>
  </si>
  <si>
    <t>#G1013</t>
  </si>
  <si>
    <t>Rotguss-bauteil</t>
  </si>
  <si>
    <t>#G1018</t>
  </si>
  <si>
    <t>Fassadenfarbe silikat-dispersionsfarbe</t>
  </si>
  <si>
    <t>#G1051</t>
  </si>
  <si>
    <t>Baumwolle ökologisch</t>
  </si>
  <si>
    <t>https://www.oekobaudat.de/OEKOBAU.DAT/resource/processes/e4800e06-854a-4f09-9114-21340fd19af5?version=20.23.050</t>
  </si>
  <si>
    <t>#G1056</t>
  </si>
  <si>
    <t>Propan (r290)</t>
  </si>
  <si>
    <t>#G1238</t>
  </si>
  <si>
    <t>Schmelzkammergranulat</t>
  </si>
  <si>
    <t>#G1301</t>
  </si>
  <si>
    <t>Voranstrich (Silikat-Dispersion)</t>
  </si>
  <si>
    <t>#G0098</t>
  </si>
  <si>
    <t>Gipsstein (caso4-dihydrat)</t>
  </si>
  <si>
    <t>#G0115</t>
  </si>
  <si>
    <t>Lava körnung</t>
  </si>
  <si>
    <t>https://www.oekobaudat.de/OEKOBAU.DAT/resource/processes/e2799f93-b221-48c5-b7ee-9dd39850e379?version=20.23.050</t>
  </si>
  <si>
    <t>#G0127</t>
  </si>
  <si>
    <t>Folie aus polytetrafluorethylen (ptfe)</t>
  </si>
  <si>
    <t>#G0144</t>
  </si>
  <si>
    <t>Pulverlackierung (industrie, außenbereich, weiß)</t>
  </si>
  <si>
    <t>https://www.oekobaudat.de/OEKOBAU.DAT/resource/processes/655a3a77-ab75-4553-a706-655d1de10292?version=20.23.050</t>
  </si>
  <si>
    <t>#G0173</t>
  </si>
  <si>
    <t>Blähglas granulat</t>
  </si>
  <si>
    <t>https://www.oekobaudat.de/OEKOBAU.DAT/resource/processes/03df95b7-c807-461d-a163-56a98528d8e8?version=20.23.050</t>
  </si>
  <si>
    <t>#G0174</t>
  </si>
  <si>
    <t>#G0207</t>
  </si>
  <si>
    <t>Regenabflussrohr pvc</t>
  </si>
  <si>
    <t>#G0239</t>
  </si>
  <si>
    <t>Pufferspeicher (edelstahl)</t>
  </si>
  <si>
    <t>#G0248</t>
  </si>
  <si>
    <t>Kalk (cao; feinkalk)</t>
  </si>
  <si>
    <t>https://www.oekobaudat.de/OEKOBAU.DAT/resource/processes/d63868d0-5a54-40fd-ad33-5eee2b0228e1?version=20.23.050</t>
  </si>
  <si>
    <t>#G0252</t>
  </si>
  <si>
    <t>Difluormethan (r32)</t>
  </si>
  <si>
    <t>#G0303</t>
  </si>
  <si>
    <t>Chlorodifluormethan (r22)</t>
  </si>
  <si>
    <t>#G0318</t>
  </si>
  <si>
    <t>Lacksysteme holzfassade deckend (decklacksystem)</t>
  </si>
  <si>
    <t>#G0324</t>
  </si>
  <si>
    <t>Parkettlack transparent</t>
  </si>
  <si>
    <t>#G0377</t>
  </si>
  <si>
    <t>Tetrafluorpropen (r1234ze)</t>
  </si>
  <si>
    <t>#G0410</t>
  </si>
  <si>
    <t>Gussasphaltestrich</t>
  </si>
  <si>
    <t>#G0445</t>
  </si>
  <si>
    <t>Kohlenstoffdioxid (r744)</t>
  </si>
  <si>
    <t>#G0463</t>
  </si>
  <si>
    <t>Kunststoffteil aus laminiertem polyesterharz (gfk, 30% glasfaseranteil)</t>
  </si>
  <si>
    <t>#G0483</t>
  </si>
  <si>
    <t>#G0487</t>
  </si>
  <si>
    <t>Lösemittellack weiß</t>
  </si>
  <si>
    <t>https://www.oekobaudat.de/OEKOBAU.DAT/resource/processes/511b2af7-f9b9-4e1f-8b9e-fd4ac548aa6c?version=20.23.050</t>
  </si>
  <si>
    <t>#G0493</t>
  </si>
  <si>
    <t>Fassadenfarbe voranstrich silikat-dispersion</t>
  </si>
  <si>
    <t>#G0499</t>
  </si>
  <si>
    <t>Stahl feinblech (20µm bandverzinkt)</t>
  </si>
  <si>
    <t>https://www.oekobaudat.de/OEKOBAU.DAT/resource/processes/e4d32a41-ad4e-48bd-8ad9-56f50f495503?version=20.23.050</t>
  </si>
  <si>
    <t>#G0505</t>
  </si>
  <si>
    <t>Schornstein edelstahl (einwandig)</t>
  </si>
  <si>
    <t>#G0555</t>
  </si>
  <si>
    <t>Stahlrohr</t>
  </si>
  <si>
    <t>#G0561</t>
  </si>
  <si>
    <t>Voranstrich (silikat-dispersion)</t>
  </si>
  <si>
    <t>#G0572</t>
  </si>
  <si>
    <t>Polybutadien-rohr (pb)</t>
  </si>
  <si>
    <t>#G0576</t>
  </si>
  <si>
    <t>Perlite 0-1</t>
  </si>
  <si>
    <t>#G0580</t>
  </si>
  <si>
    <t>Bimssand</t>
  </si>
  <si>
    <t>#G0608</t>
  </si>
  <si>
    <t>Kautschuk-dichtmasse</t>
  </si>
  <si>
    <t>#G0635</t>
  </si>
  <si>
    <t>Nylon gussteil (pa 6.6)</t>
  </si>
  <si>
    <t>#G0638</t>
  </si>
  <si>
    <t>Splitt 2/15 (getrocknet)</t>
  </si>
  <si>
    <t>#G0647</t>
  </si>
  <si>
    <t>Melaminharz-schaum</t>
  </si>
  <si>
    <t>#G0673</t>
  </si>
  <si>
    <t>Asphaltbinder</t>
  </si>
  <si>
    <t>#G0687</t>
  </si>
  <si>
    <t>Polyethylen-schaum</t>
  </si>
  <si>
    <t>#G0690</t>
  </si>
  <si>
    <t>Regenabflussrohr sml</t>
  </si>
  <si>
    <t>#G0698</t>
  </si>
  <si>
    <t>Sand 0/2</t>
  </si>
  <si>
    <t>#G0734</t>
  </si>
  <si>
    <t>Bitumen kaltkleber (60% bitumen, 23%lm, 17% wasser)</t>
  </si>
  <si>
    <t>#G0782</t>
  </si>
  <si>
    <t>Trinkwasserrohr pe-x-alu</t>
  </si>
  <si>
    <t>#G0804</t>
  </si>
  <si>
    <t>Trinkwasserrohre pe x-alu-pe x</t>
  </si>
  <si>
    <t>#G0813</t>
  </si>
  <si>
    <t>Lithiumbromid</t>
  </si>
  <si>
    <t>#G0846</t>
  </si>
  <si>
    <t>#G0861</t>
  </si>
  <si>
    <t>Kalziumhydroxid (ca(oh)2, trocken; gelöscht)</t>
  </si>
  <si>
    <t>https://www.oekobaudat.de/OEKOBAU.DAT/resource/processes/759f9742-cd53-4b8f-b8ae-dec49c3378e9?version=20.23.050</t>
  </si>
  <si>
    <t>#G0877</t>
  </si>
  <si>
    <t>Innenfarbe dispersionsfarbe scheuerfest</t>
  </si>
  <si>
    <t>#G0933</t>
  </si>
  <si>
    <t>Splitt 2/15</t>
  </si>
  <si>
    <t>#G0940</t>
  </si>
  <si>
    <t>Brechsand 0/2 (getrocknet)</t>
  </si>
  <si>
    <t>#G0951</t>
  </si>
  <si>
    <t>Baumwolle konventionell</t>
  </si>
  <si>
    <t>#G0964</t>
  </si>
  <si>
    <t>Kunststoffprofil sbr</t>
  </si>
  <si>
    <t>#G0978</t>
  </si>
  <si>
    <t>Splittmastixasphalt (sma)</t>
  </si>
  <si>
    <t>https://www.oekobaudat.de/OEKOBAU.DAT/resource/processes/78fb80c2-6d74-49fe-97fa-4d436af75106?version=20.23.050</t>
  </si>
  <si>
    <t>#G1000</t>
  </si>
  <si>
    <t>Wasserlack weiß</t>
  </si>
  <si>
    <t>https://www.oekobaudat.de/OEKOBAU.DAT/resource/processes/3ec35876-5628-4749-a50c-f96e02a7e09e?version=20.23.050</t>
  </si>
  <si>
    <t>#G1003</t>
  </si>
  <si>
    <t>Betonrohr, unbewehrt</t>
  </si>
  <si>
    <t>#G1006</t>
  </si>
  <si>
    <t>Pvc plastisol</t>
  </si>
  <si>
    <t>#G1032</t>
  </si>
  <si>
    <t>Harnstoff-formaldehydharz ortschaum</t>
  </si>
  <si>
    <t>#G1038</t>
  </si>
  <si>
    <t>Lacksysteme holzfenster zwischenbeschichtung deckend weiß</t>
  </si>
  <si>
    <t>https://www.oekobaudat.de/OEKOBAU.DAT/resource/processes/b347b33b-8a05-4d0a-83c4-1337c986a775?version=20.23.050</t>
  </si>
  <si>
    <t>#G1061</t>
  </si>
  <si>
    <t>Fassadenfarbe dispersionsfarbe</t>
  </si>
  <si>
    <t>#G1070</t>
  </si>
  <si>
    <t>#G0680</t>
  </si>
  <si>
    <t>Epdm-dichtungen für aluminiumprofil</t>
  </si>
  <si>
    <t>https://www.oekobaudat.de/OEKOBAU.DAT/resource/processes/01a66f11-99ef-4fec-b34b-d68a377820ee?version=20.23.050</t>
  </si>
  <si>
    <t>#G0946</t>
  </si>
  <si>
    <t>Cr profil (chloropren-kautschuk)</t>
  </si>
  <si>
    <t>#G0299</t>
  </si>
  <si>
    <t>Epdm-dichtungen aluminiumprofil, thermisch getrennt</t>
  </si>
  <si>
    <t>#G0679</t>
  </si>
  <si>
    <t>Aluminium-flügelrahmenprofil, pulverbeschichtet</t>
  </si>
  <si>
    <t>https://www.oekobaudat.de/OEKOBAU.DAT/resource/processes/9c97e6bb-8e4a-4e6e-ad2f-773eeab50739?version=20.23.050</t>
  </si>
  <si>
    <t>#G0546</t>
  </si>
  <si>
    <t>Aluminium-rahmenprofil, pulverbeschichtet</t>
  </si>
  <si>
    <t>https://www.oekobaudat.de/OEKOBAU.DAT/resource/processes/aef3b8cd-c3b4-4e55-b2d1-0a3a131e7695?version=20.23.050</t>
  </si>
  <si>
    <t>#G0184</t>
  </si>
  <si>
    <t>Aluminium-rahmenprofil, thermisch getrennt, pulverbeschichtet</t>
  </si>
  <si>
    <t>https://www.oekobaudat.de/OEKOBAU.DAT/resource/processes/33403851-59e9-463e-b238-b17afefc9a08?version=20.23.050</t>
  </si>
  <si>
    <t>#G0315</t>
  </si>
  <si>
    <t>Aluminium-flügelrahmenprofil, thermisch getrennt, pulverbeschichtet</t>
  </si>
  <si>
    <t>https://www.oekobaudat.de/OEKOBAU.DAT/resource/processes/9c4e69a2-9c53-4c54-9c2f-027091116aa1?version=20.23.050</t>
  </si>
  <si>
    <t>#G0363</t>
  </si>
  <si>
    <t>Steinzeugrohre dn 400</t>
  </si>
  <si>
    <t>#G0842</t>
  </si>
  <si>
    <t>Schornstein gemauert (zweizügig)</t>
  </si>
  <si>
    <t>https://www.oekobaudat.de/OEKOBAU.DAT/resource/processes/5b35df13-7d69-43a5-9532-98f62bc2f460?version=20.23.050</t>
  </si>
  <si>
    <t>#G0833</t>
  </si>
  <si>
    <t>Holz-blendrahmen</t>
  </si>
  <si>
    <t>#G0896</t>
  </si>
  <si>
    <t>Holz-flügelrahmen</t>
  </si>
  <si>
    <t>https://www.oekobaudat.de/OEKOBAU.DAT/resource/processes/7907e693-d970-4958-adfd-223b541fc731?version=20.23.050</t>
  </si>
  <si>
    <t>#G0716</t>
  </si>
  <si>
    <t>Blendrahmen pvc-u</t>
  </si>
  <si>
    <t>#G0511</t>
  </si>
  <si>
    <t>Flügelrahmen pvc-u</t>
  </si>
  <si>
    <t>https://www.oekobaudat.de/OEKOBAU.DAT/resource/processes/4ca023d1-2eda-43ab-9c55-481a6d250d9b?version=20.23.050</t>
  </si>
  <si>
    <t>#G0961</t>
  </si>
  <si>
    <t>Pfosten/riegel aus aluminium</t>
  </si>
  <si>
    <t>https://www.oekobaudat.de/OEKOBAU.DAT/resource/processes/03329c6a-b5f2-47c8-a8db-1bd3b003857c?version=20.23.050</t>
  </si>
  <si>
    <t>#G0890</t>
  </si>
  <si>
    <t>Steinzeugrohre dn 250</t>
  </si>
  <si>
    <t>#G0442</t>
  </si>
  <si>
    <t>Pfosten/riegelsystem aus stahl</t>
  </si>
  <si>
    <t>#G1064</t>
  </si>
  <si>
    <t>Schornstein gemauert (einzügig)</t>
  </si>
  <si>
    <t>https://www.oekobaudat.de/OEKOBAU.DAT/resource/processes/1778444e-e7a5-46dc-8260-64afe41f8a2e?version=20.23.050</t>
  </si>
  <si>
    <t>#G1166</t>
  </si>
  <si>
    <t>Mehrschichtparkett (generisch)</t>
  </si>
  <si>
    <t>https://www.oekobaudat.de/OEKOBAU.DAT/resource/processes/ed739600-fbd0-4b3e-b577-453778a5270e?version=20.23.050</t>
  </si>
  <si>
    <t>Korklinoleum fußbodenbelag</t>
  </si>
  <si>
    <t>https://www.oekobaudat.de/OEKOBAU.DAT/resource/processes/f3a3bf90-a295-4aab-9bfc-af3fe20c921b?version=20.23.050</t>
  </si>
  <si>
    <t>#G1186</t>
  </si>
  <si>
    <t>VELUX PUR dachfenster (zweifachverglasung)</t>
  </si>
  <si>
    <t>https://oekobaudat.de/OEKOBAU.DAT/resource/datastocks/c391de0f-2cfd-47ea-8883-c661d294e2ba/processes/5405b63f-9a3e-4a33-adda-07f86556e031?format=html&amp;lang=en&amp;version=00.03.000</t>
  </si>
  <si>
    <t>#G1198</t>
  </si>
  <si>
    <t>VELUX modular skylight (double glazing configuration)</t>
  </si>
  <si>
    <t>https://oekobaudat.de/OEKOBAU.DAT/resource/datastocks/c391de0f-2cfd-47ea-8883-c661d294e2ba/processes/f54c9732-257c-4de7-a633-091187f219ac?format=html&amp;lang=en&amp;version=00.02.000</t>
  </si>
  <si>
    <t>#G0008</t>
  </si>
  <si>
    <t>Infini colors - getuftete teppichfliesen</t>
  </si>
  <si>
    <t>https://oekobaudat.de/OEKOBAU.DAT/resource/datastocks/c391de0f-2cfd-47ea-8883-c661d294e2ba/processes/521d6dd3-905f-436c-927d-f2c618553b23?format=html&amp;lang=en&amp;version=00.01.000</t>
  </si>
  <si>
    <t>#G0393</t>
  </si>
  <si>
    <t>Kraftpapier</t>
  </si>
  <si>
    <t>#G0786</t>
  </si>
  <si>
    <t>Dampfbremse pa</t>
  </si>
  <si>
    <t>#G0108</t>
  </si>
  <si>
    <t>Glasvlies</t>
  </si>
  <si>
    <t>#G1111</t>
  </si>
  <si>
    <t>Dampfbremse PET gitterverstärkt</t>
  </si>
  <si>
    <t>https://www.oekobaudat.de/OEKOBAU.DAT/resource/processes/b86a5061-4138-4a1a-889d-0c53f4868f49?version=20.23.050</t>
  </si>
  <si>
    <t>#G1148</t>
  </si>
  <si>
    <t>Unterspannbahn pe gewebeverstärkt</t>
  </si>
  <si>
    <t>https://www.oekobaudat.de/OEKOBAU.DAT/resource/processes/e1a3feae-f090-41d7-8697-dfd5b28e0607?version=20.23.050</t>
  </si>
  <si>
    <t>#G1097</t>
  </si>
  <si>
    <t>Unterspannbahn pp</t>
  </si>
  <si>
    <t>https://www.oekobaudat.de/OEKOBAU.DAT/resource/processes/9c355da1-8e97-448e-b66b-10e04316bf20?version=20.23.050</t>
  </si>
  <si>
    <t>#G0226</t>
  </si>
  <si>
    <t>Pulverbeschichten von metallen</t>
  </si>
  <si>
    <t>#G1125</t>
  </si>
  <si>
    <t>Dampfbremse pe</t>
  </si>
  <si>
    <t>https://www.oekobaudat.de/OEKOBAU.DAT/resource/processes/7b949ae4-3793-4670-86d8-241578803aa2?version=20.23.050</t>
  </si>
  <si>
    <t>#G1122</t>
  </si>
  <si>
    <t>Unterspannbahn pur auf pet-vlies</t>
  </si>
  <si>
    <t>https://www.oekobaudat.de/OEKOBAU.DAT/resource/processes/d4dc2df9-deda-4b02-bb0d-952ce44d2fe6?version=20.23.050</t>
  </si>
  <si>
    <t>#G0990</t>
  </si>
  <si>
    <t>Metalllack (lösemittelbasiert)</t>
  </si>
  <si>
    <t>https://www.oekobaudat.de/OEKOBAU.DAT/resource/processes/b2a5f872-5e24-461c-a6e4-88ef88ad7c8c?version=20.23.050</t>
  </si>
  <si>
    <t>#G0625</t>
  </si>
  <si>
    <t>Aluminiumfolie (d=0,1 mm)</t>
  </si>
  <si>
    <t>https://www.oekobaudat.de/OEKOBAU.DAT/resource/processes/0fdc2fd3-fe48-499f-9158-74a6cc7185dc?version=20.23.050</t>
  </si>
  <si>
    <t>#G0502</t>
  </si>
  <si>
    <t>Metallbeschichtung (wasserbasiert)</t>
  </si>
  <si>
    <t>#G0754</t>
  </si>
  <si>
    <t>Sonnenschutztuch</t>
  </si>
  <si>
    <t>#G0490</t>
  </si>
  <si>
    <t>Pe/pp vlies</t>
  </si>
  <si>
    <t>#G0143</t>
  </si>
  <si>
    <t>Eloxieren von aluminiumblech</t>
  </si>
  <si>
    <t>https://www.oekobaudat.de/OEKOBAU.DAT/resource/processes/e9920105-0f1a-4452-9a08-47289dc04116?version=20.23.050</t>
  </si>
  <si>
    <t>#G0429</t>
  </si>
  <si>
    <t>Solaranlage vakuumröhrenkollektor</t>
  </si>
  <si>
    <t>https://www.oekobaudat.de/OEKOBAU.DAT/resource/processes/904204ca-cdaa-49ac-a899-4fabf8e56456?version=20.23.050</t>
  </si>
  <si>
    <t>#G1131</t>
  </si>
  <si>
    <t>Folie für gründach</t>
  </si>
  <si>
    <t>https://www.oekobaudat.de/OEKOBAU.DAT/resource/processes/4c569188-c899-44da-8843-523c2c741efe?version=20.23.050</t>
  </si>
  <si>
    <t>#G1163</t>
  </si>
  <si>
    <t>Pe-noppenfolie zur abdichtung</t>
  </si>
  <si>
    <t>https://www.oekobaudat.de/OEKOBAU.DAT/resource/processes/0dbca1ff-d043-408f-9511-6aeddf8e5f70?version=20.23.050</t>
  </si>
  <si>
    <t>#G0519</t>
  </si>
  <si>
    <t>Pe-hd mit pp-vlies zur abdichtung</t>
  </si>
  <si>
    <t>#G0927</t>
  </si>
  <si>
    <t>Fußbodenheizung pex (200 mm abstand)</t>
  </si>
  <si>
    <t>https://www.oekobaudat.de/OEKOBAU.DAT/resource/processes/03c47c52-3265-49d9-8804-6c447031ce73?version=20.23.050</t>
  </si>
  <si>
    <t>#G0936</t>
  </si>
  <si>
    <t>Fußbodenheizung pp (200 mm abstand)</t>
  </si>
  <si>
    <t>https://www.oekobaudat.de/OEKOBAU.DAT/resource/processes/6e50c70d-3339-4118-b5be-4f27d5bca333?version=20.23.050</t>
  </si>
  <si>
    <t>#G1157</t>
  </si>
  <si>
    <t>Pvc-dachbahnen</t>
  </si>
  <si>
    <t>https://www.oekobaudat.de/OEKOBAU.DAT/resource/processes/57bb6738-f9d8-4c59-b00a-00a217e9feba?version=20.23.050</t>
  </si>
  <si>
    <t>#G0140</t>
  </si>
  <si>
    <t>Fußbodenheizung pex (100 mm abstand)</t>
  </si>
  <si>
    <t>https://www.oekobaudat.de/OEKOBAU.DAT/resource/processes/87860f4c-ffd2-4fd9-a381-04b3975c28ae?version=20.23.050</t>
  </si>
  <si>
    <t>#G0659</t>
  </si>
  <si>
    <t>Fußbodenheizung pp (100 mm abstand)</t>
  </si>
  <si>
    <t>https://www.oekobaudat.de/OEKOBAU.DAT/resource/processes/979226f9-7902-47c6-8cee-5a94ba63185a?version=20.23.050</t>
  </si>
  <si>
    <t>#G0984</t>
  </si>
  <si>
    <t>Fensterglas einfach</t>
  </si>
  <si>
    <t>#G0617</t>
  </si>
  <si>
    <t>Natursteinplatte, weich, fassade (40mm)</t>
  </si>
  <si>
    <t>https://www.oekobaudat.de/OEKOBAU.DAT/resource/processes/ed73e591-97c9-4348-b3b0-5c88a6f4e1dc?version=20.23.050</t>
  </si>
  <si>
    <t>#G1266</t>
  </si>
  <si>
    <t>Wdvs verklebung und beschichtung leichtputz mineralisch</t>
  </si>
  <si>
    <t>#G1287</t>
  </si>
  <si>
    <t>Wdvs verklebung und beschichtung silikonharzputz</t>
  </si>
  <si>
    <t>#G1251</t>
  </si>
  <si>
    <t>Wdvs verklebung und beschichtung silikat-dispersionsputz</t>
  </si>
  <si>
    <t>#G1256</t>
  </si>
  <si>
    <t>Wdvs verklebung und beschichtung kunstharzputz</t>
  </si>
  <si>
    <t>#G1145</t>
  </si>
  <si>
    <t>Lehmbauplatte</t>
  </si>
  <si>
    <t>https://www.oekobaudat.de/OEKOBAU.DAT/resource/processes/eb255e58-7955-4d25-a333-4db0340b2864?version=20.23.050</t>
  </si>
  <si>
    <t>#G0523</t>
  </si>
  <si>
    <t>Pfosten/riegel system aus aluminium mit dreifachverglasung</t>
  </si>
  <si>
    <t>https://www.oekobaudat.de/OEKOBAU.DAT/resource/processes/4dd9a97f-6afa-4e12-a0fb-71da41d7afe4?version=20.23.050</t>
  </si>
  <si>
    <t>#G1270</t>
  </si>
  <si>
    <t>Wdvs verklebung und beschichtung dekorputz mineralisch</t>
  </si>
  <si>
    <t>#G0704</t>
  </si>
  <si>
    <t>Solaranlage flachkollektor</t>
  </si>
  <si>
    <t>#G0327</t>
  </si>
  <si>
    <t>Eva-dachbahnen</t>
  </si>
  <si>
    <t>#G1177</t>
  </si>
  <si>
    <t>Dachbahnen epdm</t>
  </si>
  <si>
    <t>https://www.oekobaudat.de/OEKOBAU.DAT/resource/processes/48a0f50e-6dd0-4495-b0a4-210315b06680?version=20.23.050</t>
  </si>
  <si>
    <t>#G0423</t>
  </si>
  <si>
    <t>Ecb kunststoff-dachbahn nach din 16729 (mit pes vlies)</t>
  </si>
  <si>
    <t>#G1114</t>
  </si>
  <si>
    <t>Steinzeugfliesen glasiert</t>
  </si>
  <si>
    <t>https://www.oekobaudat.de/OEKOBAU.DAT/resource/processes/422b43de-406b-46fa-8a87-c5d446fba399?version=20.23.050</t>
  </si>
  <si>
    <t>#G0340</t>
  </si>
  <si>
    <t>Steinzeugfliesen unglasiert</t>
  </si>
  <si>
    <t>#G1117</t>
  </si>
  <si>
    <t>Trockenestrich (gipskartonplatte; 25 mm)</t>
  </si>
  <si>
    <t>https://www.oekobaudat.de/OEKOBAU.DAT/resource/processes/93a02bbc-e268-4d2f-a8c4-7cda473b7eab?version=20.23.050</t>
  </si>
  <si>
    <t>#G0210</t>
  </si>
  <si>
    <t>Isolierglas 2-scheiben</t>
  </si>
  <si>
    <t>#G1102</t>
  </si>
  <si>
    <t>Natursteinplatte, hart, außenbereich, dicke 80mm</t>
  </si>
  <si>
    <t>https://www.oekobaudat.de/OEKOBAU.DAT/resource/processes/72d8921b-8ac0-471b-943a-47871bd8d76a?version=20.23.050</t>
  </si>
  <si>
    <t>#G0111</t>
  </si>
  <si>
    <t>Pfosten/riegel system aus stahl mit dreifachverglasung</t>
  </si>
  <si>
    <t>https://www.oekobaudat.de/OEKOBAU.DAT/resource/processes/77dbec35-a9ed-462f-91dc-c26fce408a2b?version=20.23.050</t>
  </si>
  <si>
    <t>#G1119</t>
  </si>
  <si>
    <t>Trockenestrich (gipsfaserplatte; 25 mm)</t>
  </si>
  <si>
    <t>https://www.oekobaudat.de/OEKOBAU.DAT/resource/processes/3ef401d0-e1fc-4ff3-bf94-a3ee6a460fdf?version=20.23.050</t>
  </si>
  <si>
    <t>#G1154</t>
  </si>
  <si>
    <t>Linoleum</t>
  </si>
  <si>
    <t>https://www.oekobaudat.de/OEKOBAU.DAT/resource/processes/c3d7aef9-38a6-4d2a-a77f-2eee25461482?version=20.23.050</t>
  </si>
  <si>
    <t>#G0858</t>
  </si>
  <si>
    <t>Pvc fußbodenbelag</t>
  </si>
  <si>
    <t>https://www.oekobaudat.de/OEKOBAU.DAT/resource/processes/788de5d9-a671-4cd6-9e86-760bb5203ec1?version=20.23.050</t>
  </si>
  <si>
    <t>#G0719</t>
  </si>
  <si>
    <t>Fußbodenheizung kupfer (200 mm abstand)</t>
  </si>
  <si>
    <t>https://www.oekobaudat.de/OEKOBAU.DAT/resource/processes/1a068fac-fca7-4891-8891-4511e1711b4c?version=20.23.050</t>
  </si>
  <si>
    <t>#G0595</t>
  </si>
  <si>
    <t>Gummi-bodenbelag mit schaumstoffbeschichtung en 1816</t>
  </si>
  <si>
    <t>#G1075</t>
  </si>
  <si>
    <t>Dreifachverglasung</t>
  </si>
  <si>
    <t>https://www.oekobaudat.de/OEKOBAU.DAT/resource/processes/6eaddefb-7a0f-43e4-a0cb-8459c26e0947?version=20.23.050</t>
  </si>
  <si>
    <t>#G1234</t>
  </si>
  <si>
    <t>Wdvs verklebung und beschichtung kratzputz mineralisch</t>
  </si>
  <si>
    <t>#G1079</t>
  </si>
  <si>
    <t>Gummi-bodenbelag profiliert en 12199</t>
  </si>
  <si>
    <t>https://www.oekobaudat.de/OEKOBAU.DAT/resource/processes/df441c17-25cb-4a50-add5-a2928933903d?version=20.23.050</t>
  </si>
  <si>
    <t>#G1139</t>
  </si>
  <si>
    <t>Bitumenbahnen v 60</t>
  </si>
  <si>
    <t>https://www.oekobaudat.de/OEKOBAU.DAT/resource/processes/da3f32e3-7b0d-44f2-ba03-8dd93aa94f75?version=20.23.050</t>
  </si>
  <si>
    <t>#G0477</t>
  </si>
  <si>
    <t>Fußbodenheizung kupfer (100 mm abstand)</t>
  </si>
  <si>
    <t>https://www.oekobaudat.de/OEKOBAU.DAT/resource/processes/f55e9321-9133-4259-8abe-fe9cd8ae9171?version=20.23.050</t>
  </si>
  <si>
    <t>#G0768</t>
  </si>
  <si>
    <t>Feuerverzinktes stahlblech</t>
  </si>
  <si>
    <t>#G0270</t>
  </si>
  <si>
    <t>Kunststeinplatte (epoxidharz gebunden)</t>
  </si>
  <si>
    <t>#G1082</t>
  </si>
  <si>
    <t>Natursteinplatte, weich, innenboden, dicke 20mm</t>
  </si>
  <si>
    <t>https://www.oekobaudat.de/OEKOBAU.DAT/resource/processes/98c9f1b8-ff8c-4089-bd94-ec58b3fa1bf5?version=20.23.050</t>
  </si>
  <si>
    <t>#G1085</t>
  </si>
  <si>
    <t>Marmorplatte</t>
  </si>
  <si>
    <t>https://www.oekobaudat.de/OEKOBAU.DAT/resource/processes/02ec5054-ace1-4ffc-a46b-92be3bedb416?version=20.23.050</t>
  </si>
  <si>
    <t>#G1088</t>
  </si>
  <si>
    <t>Natursteinplatte, hart, innenboden (20mm)</t>
  </si>
  <si>
    <t>https://www.oekobaudat.de/OEKOBAU.DAT/resource/processes/1e8f900e-eda3-43d9-b2cc-746dc1798a40?version=20.23.050</t>
  </si>
  <si>
    <t>#G1105</t>
  </si>
  <si>
    <t>Bitumenbahnen pye-pv 200 s5 ns (geschiefert)</t>
  </si>
  <si>
    <t>https://www.oekobaudat.de/OEKOBAU.DAT/resource/processes/547d0037-2ebd-40ef-b2a5-1d742afc2851?version=20.23.050</t>
  </si>
  <si>
    <t>#G0849</t>
  </si>
  <si>
    <t>Rollladen kunststoff</t>
  </si>
  <si>
    <t>#G1108</t>
  </si>
  <si>
    <t>Natursteinplatte, hart, fassade (30mm)</t>
  </si>
  <si>
    <t>https://www.oekobaudat.de/OEKOBAU.DAT/resource/processes/ffadb112-7271-460a-aaec-60135df38fba?version=20.23.050</t>
  </si>
  <si>
    <t>#G1292</t>
  </si>
  <si>
    <t>Oriented Strand Board (German average)</t>
  </si>
  <si>
    <t>https://oekobaudat.de/OEKOBAU.DAT/datasetdetail/process.xhtml?uuid=aab0ed28-e5b0-43d6-a932-4cdc4770c518&amp;version=01.00.025&amp;stock=OBD_2023_I&amp;lang=en</t>
  </si>
  <si>
    <t>#G1294</t>
  </si>
  <si>
    <t>Spanplatte - melaminbeschichtet (Durchschnitt DE)</t>
  </si>
  <si>
    <t>https://oekobaudat.de/OEKOBAU.DAT/datasetdetail/process.xhtml?uuid=ff5343ea-d28e-4c1c-ab30-6438c1df7fa8&amp;version=00.00.028&amp;stock=OBD_2023_I&amp;lang=en</t>
  </si>
  <si>
    <t>#G0701</t>
  </si>
  <si>
    <t>Spanplatte (generisch)</t>
  </si>
  <si>
    <t>https://www.oekobaudat.de/OEKOBAU.DAT/resource/processes/07a8b3de-9406-4184-bb6e-c9208983c868?version=20.23.050</t>
  </si>
  <si>
    <t>#G1297</t>
  </si>
  <si>
    <t>Mitteldichte faserplatte (durchschnitt de)</t>
  </si>
  <si>
    <t>https://oekobaudat.de/OEKOBAU.DAT/datasetdetail/process.xhtml?uuid=b513a7f4-a689-4d5e-8efd-349fb25d21cb&amp;version=00.00.026&amp;stock=OBD_2023_I&amp;lang=en</t>
  </si>
  <si>
    <t>#G0614</t>
  </si>
  <si>
    <t>Transparente platten pmma, gegossen</t>
  </si>
  <si>
    <t>#G0827</t>
  </si>
  <si>
    <t>Transparente platten pmma, extrudiert</t>
  </si>
  <si>
    <t>#G0457</t>
  </si>
  <si>
    <t>Zementgebundene spanplatte (generisch)</t>
  </si>
  <si>
    <t>https://www.oekobaudat.de/OEKOBAU.DAT/resource/processes/c772eb77-7b60-4b1f-8b5b-0be23e26549a?version=20.23.050</t>
  </si>
  <si>
    <t>#G0707</t>
  </si>
  <si>
    <t>Lehmstein</t>
  </si>
  <si>
    <t>#G0943</t>
  </si>
  <si>
    <t>Transparente platten pc</t>
  </si>
  <si>
    <t>#G0737</t>
  </si>
  <si>
    <t>Transparente platten pvc</t>
  </si>
  <si>
    <t>#G0446</t>
  </si>
  <si>
    <t>Hüttenstein</t>
  </si>
  <si>
    <t>https://www.oekobaudat.de/OEKOBAU.DAT/resource/processes/9fb201e2-741a-49bb-871d-098bfa312f8e?version=20.23.050</t>
  </si>
  <si>
    <t>#G0533</t>
  </si>
  <si>
    <t>Hpl-platte</t>
  </si>
  <si>
    <t>#G0161</t>
  </si>
  <si>
    <t>Schüttung aus polystyrolschaumstoff-partikeln (ohne bindemittel)</t>
  </si>
  <si>
    <t>https://www.oekobaudat.de/OEKOBAU.DAT/resource/processes/198043f5-de31-4fab-a300-53639b983dd1?version=20.23.050</t>
  </si>
  <si>
    <t>#G0862</t>
  </si>
  <si>
    <t>Holzfaserdämmplatte (nassverfahren)</t>
  </si>
  <si>
    <t>https://www.oekobaudat.de/OEKOBAU.DAT/resource/processes/eefa40b3-7156-43a9-b197-b908f204432b?version=20.23.050</t>
  </si>
  <si>
    <t>#G0790</t>
  </si>
  <si>
    <t>Kunstharzputz</t>
  </si>
  <si>
    <t>#G0217</t>
  </si>
  <si>
    <t>Kalkputzmörtel</t>
  </si>
  <si>
    <t>https://www.oekobaudat.de/OEKOBAU.DAT/resource/processes/54e731d4-b14d-48eb-bbe5-02eb19e6a7e3?version=20.23.050</t>
  </si>
  <si>
    <t>#G0245</t>
  </si>
  <si>
    <t>Fassadenklinker</t>
  </si>
  <si>
    <t>#G0330</t>
  </si>
  <si>
    <t>Beton-mauersteine</t>
  </si>
  <si>
    <t>#G0743</t>
  </si>
  <si>
    <t>Stampflehmwand</t>
  </si>
  <si>
    <t>#G0691</t>
  </si>
  <si>
    <t>Calziumsilikatplatte</t>
  </si>
  <si>
    <t>#G0954</t>
  </si>
  <si>
    <t>Glasbausteine</t>
  </si>
  <si>
    <t>#G0632</t>
  </si>
  <si>
    <t>Polyurethan hartschaum (rohrisolierung)</t>
  </si>
  <si>
    <t>#G0916</t>
  </si>
  <si>
    <t>Pir hartschaum</t>
  </si>
  <si>
    <t>https://www.oekobaudat.de/OEKOBAU.DAT/resource/processes/c2ba651c-00bf-4f69-a0dc-a6a5fe680652?version=20.23.050</t>
  </si>
  <si>
    <t>#G0650</t>
  </si>
  <si>
    <t>Schüttung aus polystyrolschaumstoff-partikeln (zementgebunden)</t>
  </si>
  <si>
    <t>https://www.oekobaudat.de/OEKOBAU.DAT/resource/processes/84e317e1-9d87-4246-bd95-0777aaf2dc3f?version=20.23.050</t>
  </si>
  <si>
    <t>#G0404</t>
  </si>
  <si>
    <t>Flachsvlies</t>
  </si>
  <si>
    <t>#G0713</t>
  </si>
  <si>
    <t>Hanfvlies</t>
  </si>
  <si>
    <t>#G0746</t>
  </si>
  <si>
    <t>Porenbeton granulat</t>
  </si>
  <si>
    <t>#G0369</t>
  </si>
  <si>
    <t>Furnierschichtholz (generisch)</t>
  </si>
  <si>
    <t>#G0973</t>
  </si>
  <si>
    <t>Porenbeton p4 05 unbewehrt</t>
  </si>
  <si>
    <t>#G0536</t>
  </si>
  <si>
    <t>Schnittholz fichte (generisch, 12% feuchte/10.7% h2o)</t>
  </si>
  <si>
    <t>https://www.oekobaudat.de/OEKOBAU.DAT/resource/processes/5f5a9cef-8b0a-4a8a-9828-9a681e5ee399?version=20.23.050</t>
  </si>
  <si>
    <t>#G0242</t>
  </si>
  <si>
    <t>Porenbeton p4 05 bewehrt</t>
  </si>
  <si>
    <t>#G0899</t>
  </si>
  <si>
    <t>Schnittholz kiefer (generisch, 12% feuchte/10,7% h2o)</t>
  </si>
  <si>
    <t>https://www.oekobaudat.de/OEKOBAU.DAT/resource/processes/d171cb17-81c4-41c9-9e14-0da45be14221?version=20.23.050</t>
  </si>
  <si>
    <t>#G0181</t>
  </si>
  <si>
    <t>Epdm schaum (rohrisolierung)</t>
  </si>
  <si>
    <t>#G0592</t>
  </si>
  <si>
    <t>Schnittholz zeder (generisch, 12% feuchte/10,7% h2o)</t>
  </si>
  <si>
    <t>https://www.oekobaudat.de/OEKOBAU.DAT/resource/processes/de1d54e8-8211-416b-9ff6-cebeb5123c71?version=20.23.050</t>
  </si>
  <si>
    <t>#G0221</t>
  </si>
  <si>
    <t>Schnittholz lärche (generisch, 12% feuchte/10,7% h2o)</t>
  </si>
  <si>
    <t>https://www.oekobaudat.de/OEKOBAU.DAT/resource/processes/9d1d96af-3f9b-41fb-bd33-43ec9e2fd1fd?version=20.23.050</t>
  </si>
  <si>
    <t>#G0407</t>
  </si>
  <si>
    <t>Schnittholz eiche (generisch, 12% feuchte/10.7% h2o)</t>
  </si>
  <si>
    <t>https://www.oekobaudat.de/OEKOBAU.DAT/resource/processes/54343f3c-d101-4dd4-883f-0515c44e38de?version=20.23.050</t>
  </si>
  <si>
    <t>#G1035</t>
  </si>
  <si>
    <t>Schnittholz buche (generisch, 12% feuchte/10,7% h2o)</t>
  </si>
  <si>
    <t>https://www.oekobaudat.de/OEKOBAU.DAT/resource/processes/47522e31-78c8-43ea-aac4-c7c9d6ca30ab?version=20.23.050</t>
  </si>
  <si>
    <t>#G0261</t>
  </si>
  <si>
    <t>Zellulosefaserplatten</t>
  </si>
  <si>
    <t>#G0366</t>
  </si>
  <si>
    <t>Expandierter kork</t>
  </si>
  <si>
    <t>#G1296</t>
  </si>
  <si>
    <t>Hochdichte faserplatte (durchschnitt de)</t>
  </si>
  <si>
    <t>https://oekobaudat.de/OEKOBAU.DAT/datasetdetail/process.xhtml?uuid=f9f40b59-268d-4a0b-8c80-d978ac97608f&amp;version=00.00.026&amp;stock=OBD_2023_I&amp;lang=en</t>
  </si>
  <si>
    <t>#G0645</t>
  </si>
  <si>
    <t>Kalk-gips-innenputz</t>
  </si>
  <si>
    <t>#G1021</t>
  </si>
  <si>
    <t>Gips kalk putz</t>
  </si>
  <si>
    <t>https://www.oekobaudat.de/OEKOBAU.DAT/resource/processes/a3c3d772-142f-4494-ab5e-c3eb604bbe55?version=20.23.050</t>
  </si>
  <si>
    <t>#G1253</t>
  </si>
  <si>
    <t>Bims-planstein (sfk-4)</t>
  </si>
  <si>
    <t>#G0543</t>
  </si>
  <si>
    <t>Lehmputz</t>
  </si>
  <si>
    <t>#G1041</t>
  </si>
  <si>
    <t>Kalk-innenputz</t>
  </si>
  <si>
    <t>#G1057</t>
  </si>
  <si>
    <t>Klimagerät (direktverdampfer) (pro 1 kw)</t>
  </si>
  <si>
    <t>https://www.oekobaudat.de/OEKOBAU.DAT/resource/processes/9da0974d-cd0c-402f-a72e-ee07f2da68d6?version=20.23.050</t>
  </si>
  <si>
    <t>#G1071</t>
  </si>
  <si>
    <t>Fenster-beschlag für horizontales schiebefenster</t>
  </si>
  <si>
    <t>https://www.oekobaudat.de/OEKOBAU.DAT/resource/processes/640ca097-4329-47d0-a762-7ed858239c3a?version=20.23.050</t>
  </si>
  <si>
    <t>#G0453</t>
  </si>
  <si>
    <t>Fahrtreppe - Komponenten (förderhöhenabhängig)</t>
  </si>
  <si>
    <t>https://www.oekobaudat.de/OEKOBAU.DAT/resource/processes/7ab14975-7e67-4226-9f08-c63448e6b70a?version=20.23.050</t>
  </si>
  <si>
    <t>#G0289</t>
  </si>
  <si>
    <t>Lüfter dezentral (wand &amp; decke) 60 m3/h</t>
  </si>
  <si>
    <t>https://www.oekobaudat.de/OEKOBAU.DAT/resource/processes/cb36ce5f-47d7-4d02-bc07-1e8da903e5c0?version=20.23.050</t>
  </si>
  <si>
    <t>#G0644</t>
  </si>
  <si>
    <t>Fenster-beschlag für vertikales schiebefenster</t>
  </si>
  <si>
    <t>https://www.oekobaudat.de/OEKOBAU.DAT/resource/processes/67331443-825b-4e74-87bb-27d5a55dd159?version=20.23.050</t>
  </si>
  <si>
    <t>#G0785</t>
  </si>
  <si>
    <t>Fenster-beschlag für doppelflügelfenster</t>
  </si>
  <si>
    <t>https://www.oekobaudat.de/OEKOBAU.DAT/resource/processes/69c60c09-e729-4327-b0fd-2b778c6942c5?version=20.23.050</t>
  </si>
  <si>
    <t>#G0800</t>
  </si>
  <si>
    <t>Fahrtreppe - Grundkomponenten (unabhängig von der Förderhöhe)</t>
  </si>
  <si>
    <t>https://www.oekobaudat.de/OEKOBAU.DAT/resource/processes/2f4fd218-4f75-4657-aed8-b6f13e83dfc5?version=20.23.050</t>
  </si>
  <si>
    <t>#G1222</t>
  </si>
  <si>
    <t>Medallion Door</t>
  </si>
  <si>
    <t>https://oekobaudat.de/OEKOBAU.DAT/datasetdetail/process.xhtml?uuid=b9aa9ecd-e541-4ec7-9f33-47b865286aa9&amp;version=00.01.000&amp;stock=OBD_2023_I&amp;lang=en</t>
  </si>
  <si>
    <t>#G0865</t>
  </si>
  <si>
    <t>Fenstergriff</t>
  </si>
  <si>
    <t>#G0392</t>
  </si>
  <si>
    <t>Fenster-beschlag für drehkippfenster (aluminium)</t>
  </si>
  <si>
    <t>https://www.oekobaudat.de/OEKOBAU.DAT/resource/processes/8dc96f29-ec8d-43ba-ba08-a2362003078a?version=20.23.050</t>
  </si>
  <si>
    <t>#G0882</t>
  </si>
  <si>
    <t>Strom-wärmepumpe (wasser-wasser) 20 kw</t>
  </si>
  <si>
    <t>https://www.oekobaudat.de/OEKOBAU.DAT/resource/processes/0cfcc4ad-1469-458b-a842-b65af7af3e85?version=20.23.050</t>
  </si>
  <si>
    <t>#G0598</t>
  </si>
  <si>
    <t>Strom-wärmepumpe (wasser-wasser) 10 kw</t>
  </si>
  <si>
    <t>https://www.oekobaudat.de/OEKOBAU.DAT/resource/processes/5b4acb87-0a01-41d7-85a6-213dec526682?version=20.23.050</t>
  </si>
  <si>
    <t>#G0913</t>
  </si>
  <si>
    <t>Flüssiggastank 4850 l/2,1t (oberirdisch)</t>
  </si>
  <si>
    <t>https://www.oekobaudat.de/OEKOBAU.DAT/resource/processes/58b82b81-40bd-4c25-b8f2-c14dab8619da?version=20.23.050</t>
  </si>
  <si>
    <t>#G0566</t>
  </si>
  <si>
    <t>Flüssiggastank 4850 l/2,1 t (unterirdisch)</t>
  </si>
  <si>
    <t>https://www.oekobaudat.de/OEKOBAU.DAT/resource/processes/eba7908d-7cd5-48f8-a707-91954f68ec80?version=20.23.050</t>
  </si>
  <si>
    <t>#G0312</t>
  </si>
  <si>
    <t>Flüssiggastank 6400 l/2,9 t (oberirdisch)</t>
  </si>
  <si>
    <t>https://www.oekobaudat.de/OEKOBAU.DAT/resource/processes/90131f95-e18b-4d64-99dd-efbdecba1d6e?version=20.23.050</t>
  </si>
  <si>
    <t>#G0177</t>
  </si>
  <si>
    <t>Gas-niedertemperaturgerät &lt; 20 kw (standgerät)</t>
  </si>
  <si>
    <t>https://www.oekobaudat.de/OEKOBAU.DAT/resource/processes/70652929-4cec-4671-a726-1bde18f5c3a5?version=20.23.050</t>
  </si>
  <si>
    <t>#G0095</t>
  </si>
  <si>
    <t>Rohre für strom-wärmepumpe (wasser-wasser) 70 kw</t>
  </si>
  <si>
    <t>https://www.oekobaudat.de/OEKOBAU.DAT/resource/processes/4270c3ec-7943-4bac-99de-d53043f0f33c?version=20.23.050</t>
  </si>
  <si>
    <t>#G0986</t>
  </si>
  <si>
    <t>Gas-brennwertgerät &lt; 20 kw (standgerät)</t>
  </si>
  <si>
    <t>https://www.oekobaudat.de/OEKOBAU.DAT/resource/processes/230a51a2-2892-414f-9357-49e1df9fb9d0?version=20.23.050</t>
  </si>
  <si>
    <t>#G0602</t>
  </si>
  <si>
    <t>Strom-wärmepumpe (luft-wasser) 10 kw</t>
  </si>
  <si>
    <t>https://www.oekobaudat.de/OEKOBAU.DAT/resource/processes/00ab3cef-5d1b-48c8-a220-4f8ac01b7dd7?version=20.23.050</t>
  </si>
  <si>
    <t>#G0852</t>
  </si>
  <si>
    <t>Strom-wärmepumpe (sole-wasser, erdkollektor) 10 kw</t>
  </si>
  <si>
    <t>https://www.oekobaudat.de/OEKOBAU.DAT/resource/processes/d4c60a37-2753-4f45-9bfe-4cefe31fd857?version=20.23.050</t>
  </si>
  <si>
    <t>#G0815</t>
  </si>
  <si>
    <t>Flüssiggastank 6400 l/2,9 t (unterirdisch)</t>
  </si>
  <si>
    <t>https://www.oekobaudat.de/OEKOBAU.DAT/resource/processes/c28a0d9c-8582-4a4e-b848-9f194a52317c?version=20.23.050</t>
  </si>
  <si>
    <t>#G0976</t>
  </si>
  <si>
    <t>Rohre für strom-wärmepumpe (sole-wasser, erdkollektor) 10 kw</t>
  </si>
  <si>
    <t>https://www.oekobaudat.de/OEKOBAU.DAT/resource/processes/9044465d-5a05-442b-a82c-a40c26cf4150?version=20.23.050</t>
  </si>
  <si>
    <t>#G0919</t>
  </si>
  <si>
    <t>Strom-wärmepumpe (sole-wasser, erdsonde) 20 kw</t>
  </si>
  <si>
    <t>https://www.oekobaudat.de/OEKOBAU.DAT/resource/processes/37ca01de-bb46-4648-a937-7ac200da6142?version=20.23.050</t>
  </si>
  <si>
    <t>#G0253</t>
  </si>
  <si>
    <t>Gaswärmepumpe (luft) 20-70 kw</t>
  </si>
  <si>
    <t>https://www.oekobaudat.de/OEKOBAU.DAT/resource/processes/ae06899a-fd3f-4ea6-9922-139dfd0e6ba9?version=20.23.050</t>
  </si>
  <si>
    <t>#G0273</t>
  </si>
  <si>
    <t>Fahrstuhl - grundkomponenten (stockwerkunabhängig)</t>
  </si>
  <si>
    <t>https://www.oekobaudat.de/OEKOBAU.DAT/resource/processes/b7dbc0bc-ac9d-4d3e-83bf-f96b3ed5eeea?version=20.23.050</t>
  </si>
  <si>
    <t>#G1043</t>
  </si>
  <si>
    <t>Strom-wärmepumpe (sole-wasser, erdkollektor) 20 kw</t>
  </si>
  <si>
    <t>https://www.oekobaudat.de/OEKOBAU.DAT/resource/processes/c5dfadb5-96a0-44fb-ac93-3cd1c4786e96?version=20.23.050</t>
  </si>
  <si>
    <t>#G0620</t>
  </si>
  <si>
    <t>Rohre für strom-wärmepumpe (sole-wasser, erdsonde) 70 kw</t>
  </si>
  <si>
    <t>https://www.oekobaudat.de/OEKOBAU.DAT/resource/processes/734f7419-1378-4b79-af5e-09297e5965d9?version=20.23.050</t>
  </si>
  <si>
    <t>#G0792</t>
  </si>
  <si>
    <t>Strom-wärmepumpe (luft-wasser) 14 kw</t>
  </si>
  <si>
    <t>https://www.oekobaudat.de/OEKOBAU.DAT/resource/processes/19a1a962-7b4b-45e8-8446-c82a15675925?version=20.23.050</t>
  </si>
  <si>
    <t>#G0219</t>
  </si>
  <si>
    <t>Rohre für strom-wärmepumpe (sole-wasser, erdsonde) 10 kw</t>
  </si>
  <si>
    <t>https://www.oekobaudat.de/OEKOBAU.DAT/resource/processes/87e96a7e-8a0b-432f-930b-6b06d07c12c7?version=20.23.050</t>
  </si>
  <si>
    <t>#G0420</t>
  </si>
  <si>
    <t>Betonfertigteil treppe (1,1 m breite, 9 stufen a 16 cm)</t>
  </si>
  <si>
    <t>#G0435</t>
  </si>
  <si>
    <t>Strom-wärmepumpe (wasser-wasser) 70 kw</t>
  </si>
  <si>
    <t>https://www.oekobaudat.de/OEKOBAU.DAT/resource/processes/9dcaae24-3f7b-45e6-8318-50ff94ef693f?version=20.23.050</t>
  </si>
  <si>
    <t>#G0147</t>
  </si>
  <si>
    <t>Beschlagverbund fenster stahl</t>
  </si>
  <si>
    <t>#G0923</t>
  </si>
  <si>
    <t>Öl-niedertemperaturgerät &lt; 20 kw (standgerät)</t>
  </si>
  <si>
    <t>https://www.oekobaudat.de/OEKOBAU.DAT/resource/processes/6f78777f-ba4d-4ab1-865e-456160085938?version=20.23.050</t>
  </si>
  <si>
    <t>#G0993</t>
  </si>
  <si>
    <t>Lithium eisenphosphat (lfp) batterie (pro 1kwh speicherkapazität)</t>
  </si>
  <si>
    <t>https://www.oekobaudat.de/OEKOBAU.DAT/resource/processes/c64f9557-37d7-40f6-b118-a35dc72fc45c?version=20.23.050</t>
  </si>
  <si>
    <t>#G0466</t>
  </si>
  <si>
    <t>Umwälzpumpe 250-1000w</t>
  </si>
  <si>
    <t>https://www.oekobaudat.de/OEKOBAU.DAT/resource/processes/5b5ed926-7052-48d3-a6b8-9039c04f5036?version=20.23.050</t>
  </si>
  <si>
    <t>#G0844</t>
  </si>
  <si>
    <t>Rohre für strom-wärmepumpe (sole-wasser, erdkollektor) 20 kw</t>
  </si>
  <si>
    <t>https://www.oekobaudat.de/OEKOBAU.DAT/resource/processes/f5499876-5da9-4807-a30e-9203559a1636?version=20.23.050</t>
  </si>
  <si>
    <t>#G0996</t>
  </si>
  <si>
    <t>Gas-brennwertgerät 20-120 kw (standgerät)</t>
  </si>
  <si>
    <t>https://www.oekobaudat.de/OEKOBAU.DAT/resource/processes/0b82bbb7-4048-4da5-830c-e040e9f3a929?version=20.23.050</t>
  </si>
  <si>
    <t>#G0868</t>
  </si>
  <si>
    <t>Gas-niedertemperaturgerät 20-120 kw (standgerät)</t>
  </si>
  <si>
    <t>https://www.oekobaudat.de/OEKOBAU.DAT/resource/processes/d75af170-2269-426a-b72a-1d78f5c4091d?version=20.23.050</t>
  </si>
  <si>
    <t>#G0776</t>
  </si>
  <si>
    <t>Elektrischer durchlauferhitzer (21 kw)</t>
  </si>
  <si>
    <t>#G0432</t>
  </si>
  <si>
    <t>Rohre für strom-wärmepumpe (wasser-wasser) 10 kw</t>
  </si>
  <si>
    <t>https://www.oekobaudat.de/OEKOBAU.DAT/resource/processes/02b43df9-fe34-4839-ac3e-5b47cc5f7674?version=20.23.050</t>
  </si>
  <si>
    <t>#G0460</t>
  </si>
  <si>
    <t>Fahrstuhl - komponenten (stockwerkabhängig)</t>
  </si>
  <si>
    <t>https://www.oekobaudat.de/OEKOBAU.DAT/resource/processes/11e6b53d-0d72-4d04-875d-2fc11e3e63a5?version=20.23.050</t>
  </si>
  <si>
    <t>#G1009</t>
  </si>
  <si>
    <t>Pelletkessel &lt; 20 kw</t>
  </si>
  <si>
    <t>#G0957</t>
  </si>
  <si>
    <t>Hackschnitzelkessel 120 - 400 kw</t>
  </si>
  <si>
    <t>#G0164</t>
  </si>
  <si>
    <t>Öl-niedertemperaturgerät 20-120 kw (standgerät)</t>
  </si>
  <si>
    <t>https://www.oekobaudat.de/OEKOBAU.DAT/resource/processes/b2d632fd-5d02-4a45-b1af-3ff87a21dec2?version=20.23.050</t>
  </si>
  <si>
    <t>#G0372</t>
  </si>
  <si>
    <t>Umwälzpumpe 50-250w</t>
  </si>
  <si>
    <t>https://www.oekobaudat.de/OEKOBAU.DAT/resource/processes/700c0c68-8aec-48b8-a276-aa60a01babda?version=20.23.050</t>
  </si>
  <si>
    <t>#G0547</t>
  </si>
  <si>
    <t>Gas-brennwertgerät &lt; 20 kw (wandgerät)</t>
  </si>
  <si>
    <t>https://www.oekobaudat.de/OEKOBAU.DAT/resource/processes/31b5024e-90db-4fc8-b6f8-b8919a54eff9?version=20.23.050</t>
  </si>
  <si>
    <t>#G0401</t>
  </si>
  <si>
    <t>Rohre für strom-wärmepumpe (wasser-wasser) 20 kw</t>
  </si>
  <si>
    <t>https://www.oekobaudat.de/OEKOBAU.DAT/resource/processes/bbc25eaf-d126-4649-b8fa-0e90b67d314f?version=20.23.050</t>
  </si>
  <si>
    <t>#G0104</t>
  </si>
  <si>
    <t>Strom-wärmepumpe (sole-wasser, erdsonde) 70 kw</t>
  </si>
  <si>
    <t>https://www.oekobaudat.de/OEKOBAU.DAT/resource/processes/c31b821c-214e-4f6f-894f-5f524949e51d?version=20.23.050</t>
  </si>
  <si>
    <t>#G1047</t>
  </si>
  <si>
    <t>Strom-wärmepumpe (sole-wasser, erdkollektor) 70 kw</t>
  </si>
  <si>
    <t>https://www.oekobaudat.de/OEKOBAU.DAT/resource/processes/4058e075-4b05-452b-b3a8-17c2378026df?version=20.23.050</t>
  </si>
  <si>
    <t>#G0224</t>
  </si>
  <si>
    <t>Rohre für strom-wärmepumpe (sole-wasser, erdsonde) 20 kw</t>
  </si>
  <si>
    <t>https://www.oekobaudat.de/OEKOBAU.DAT/resource/processes/93a80673-df5c-4432-958f-f241ff31fd9a?version=20.23.050</t>
  </si>
  <si>
    <t>#G1025</t>
  </si>
  <si>
    <t>Strom-wärmepumpe (sole-wasser, erdsonde) 10 kw</t>
  </si>
  <si>
    <t>https://www.oekobaudat.de/OEKOBAU.DAT/resource/processes/d939cdd6-98eb-4fcd-9e30-c77ded7a5399?version=20.23.050</t>
  </si>
  <si>
    <t>#G1066</t>
  </si>
  <si>
    <t>Hackschnitzelkessel &lt; 20 kw</t>
  </si>
  <si>
    <t>#G0909</t>
  </si>
  <si>
    <t>Flüssiggastank 2700 l/1,2 t (oberirdisch)</t>
  </si>
  <si>
    <t>https://www.oekobaudat.de/OEKOBAU.DAT/resource/processes/2dce11cf-7975-4215-8d0c-2d7760595853?version=20.23.050</t>
  </si>
  <si>
    <t>#G0666</t>
  </si>
  <si>
    <t>Flüssiggastank 2700 l/1,2 t (unterirdisch)</t>
  </si>
  <si>
    <t>https://www.oekobaudat.de/OEKOBAU.DAT/resource/processes/2424aa0d-0a25-447e-9d2b-a9903a9956fa?version=20.23.050</t>
  </si>
  <si>
    <t>#G0796</t>
  </si>
  <si>
    <t>Pelletkessel 20-120 kw</t>
  </si>
  <si>
    <t>#G0187</t>
  </si>
  <si>
    <t>Hackschnitzelkessel 20 - 120 kw</t>
  </si>
  <si>
    <t>#G0134</t>
  </si>
  <si>
    <t>Strom-wärmepumpe (luft-wasser) 7 kw</t>
  </si>
  <si>
    <t>https://www.oekobaudat.de/OEKOBAU.DAT/resource/processes/d59feef8-7a26-499b-a9d8-7149b5d3de24?version=20.23.050</t>
  </si>
  <si>
    <t>#G0257</t>
  </si>
  <si>
    <t>Gas-niedertemperaturgerät 120-400 kw (standgerät)</t>
  </si>
  <si>
    <t>https://www.oekobaudat.de/OEKOBAU.DAT/resource/processes/f9043619-1d1a-4af1-a42d-8bff43c7cd9c?version=20.23.050</t>
  </si>
  <si>
    <t>#G0873</t>
  </si>
  <si>
    <t>Gas-brennwertgerät 120-400 kw (standgerät)</t>
  </si>
  <si>
    <t>https://www.oekobaudat.de/OEKOBAU.DAT/resource/processes/2099e104-ce43-4c05-a923-a7a8b044dd6f?version=20.23.050</t>
  </si>
  <si>
    <t>#G0396</t>
  </si>
  <si>
    <t>Rohre für strom-wärmepumpe (sole-wasser, erdkollektor) 70 kw</t>
  </si>
  <si>
    <t>Rør til el-varmepumpe (lodret jordvarme, saltvand), collector, 70 kW</t>
  </si>
  <si>
    <t>https://www.oekobaudat.de/OEKOBAU.DAT/resource/processes/4c1af887-edea-4350-8d75-e54e8b5ca7dc?version=20.23.050</t>
  </si>
  <si>
    <t>#G0771</t>
  </si>
  <si>
    <t>Öl-niedertemperaturgerät 120-400 kw (standgerät)</t>
  </si>
  <si>
    <t>https://www.oekobaudat.de/OEKOBAU.DAT/resource/processes/ae703d16-5aef-48a2-910d-c1004677b665?version=20.23.050</t>
  </si>
  <si>
    <t>#G0452</t>
  </si>
  <si>
    <t>Aluminiumblech</t>
  </si>
  <si>
    <t>https://www.oekobaudat.de/OEKOBAU.DAT/resource/processes/f0f13788-bc1b-44d4-9f37-082a6d22b432?version=20.23.050</t>
  </si>
  <si>
    <t>#G0484</t>
  </si>
  <si>
    <t>Ammoniak (r717)</t>
  </si>
  <si>
    <t>https://www.oekobaudat.de/OEKOBAU.DAT/resource/processes/2b3bf368-34e6-4e7c-917e-6f455d4c4bb8?version=20.23.050</t>
  </si>
  <si>
    <t>#G0522</t>
  </si>
  <si>
    <t>Bims schotter</t>
  </si>
  <si>
    <t>https://www.oekobaudat.de/OEKOBAU.DAT/resource/processes/6d3a545c-07b1-4d65-8fa9-2574dca3f8d9?version=20.23.050</t>
  </si>
  <si>
    <t>#G0956</t>
  </si>
  <si>
    <t>Gussteile aus aluminium</t>
  </si>
  <si>
    <t>https://www.oekobaudat.de/OEKOBAU.DAT/resource/processes/568f2c96-2d04-43ff-bf03-8e48de9f11ff?version=20.23.050</t>
  </si>
  <si>
    <t>#G1302</t>
  </si>
  <si>
    <t>#G0333</t>
  </si>
  <si>
    <t>Aluminium Profil</t>
  </si>
  <si>
    <t>https://www.oekobaudat.de/OEKOBAU.DAT/resource/processes/fdc99ab8-d843-44ec-a66c-92367d244321?version=20.23.050</t>
  </si>
  <si>
    <t>#G0470</t>
  </si>
  <si>
    <t>Abwasserrohr abs</t>
  </si>
  <si>
    <t>https://www.oekobaudat.de/OEKOBAU.DAT/resource/processes/9099dfdd-22a6-4dee-9b60-0e90701e9d99?version=20.23.050</t>
  </si>
  <si>
    <t>#G1174</t>
  </si>
  <si>
    <t>Korkplatten 1m2, 4 mm (generisch)</t>
  </si>
  <si>
    <t>https://www.oekobaudat.de/OEKOBAU.DAT/resource/processes/2d82e639-2be1-4861-92f8-944623ee385e?version=20.23.050</t>
  </si>
  <si>
    <t>#G1134</t>
  </si>
  <si>
    <t>Stabparkett (generisch)</t>
  </si>
  <si>
    <t>https://www.oekobaudat.de/OEKOBAU.DAT/resource/processes/96a73457-ae7d-49ff-906a-d10e6b11d82c?version=20.23.050</t>
  </si>
  <si>
    <t>#G1094</t>
  </si>
  <si>
    <t>Mineralfaser deckenplatten (15 mm)</t>
  </si>
  <si>
    <t>https://www.oekobaudat.de/OEKOBAU.DAT/resource/processes/3175cb36-065b-4bc7-9c7e-dd256bba5e8f?version=20.23.050</t>
  </si>
  <si>
    <t>#G1169</t>
  </si>
  <si>
    <t>Korkplatten 1m2, 6 mm (generisch)</t>
  </si>
  <si>
    <t>https://www.oekobaudat.de/OEKOBAU.DAT/resource/processes/4116031f-9ee7-4ac0-93e7-972c4b2de8a0?version=20.23.050</t>
  </si>
  <si>
    <t>#G1091</t>
  </si>
  <si>
    <t>#G1160</t>
  </si>
  <si>
    <t>Korkplatten 1 m², 8 mm (generisch)</t>
  </si>
  <si>
    <t>https://www.oekobaudat.de/OEKOBAU.DAT/resource/processes/717cc09a-e2c5-48fb-913e-24b54fc5e851?version=20.23.050</t>
  </si>
  <si>
    <t>#G1128</t>
  </si>
  <si>
    <t>Schieferplatten</t>
  </si>
  <si>
    <t>https://www.oekobaudat.de/OEKOBAU.DAT/resource/processes/8847396e-ce82-433d-9f65-8bc144a2a7a4?version=20.23.050</t>
  </si>
  <si>
    <t>#G0355</t>
  </si>
  <si>
    <t>Gipsputz (innen)</t>
  </si>
  <si>
    <t>https://www.oekobaudat.de/OEKOBAU.DAT/resource/processes/f8e81ff6-1886-482e-9a78-7b1246a8c8f9?version=20.23.050</t>
  </si>
  <si>
    <t>Standardværdi</t>
  </si>
  <si>
    <t>https://vbn.aau.dk/da/publications/klimap%C3%A5virkning-fra-nybyggeri-analytisk-grundlag-til-fastl%C3%A6ggelse?</t>
  </si>
  <si>
    <t>#S0004</t>
  </si>
  <si>
    <t>Rækkehuse, afløb</t>
  </si>
  <si>
    <t>#S0005</t>
  </si>
  <si>
    <t>Rækkehuse, vand</t>
  </si>
  <si>
    <t>#S0006</t>
  </si>
  <si>
    <t>Rækkehuse, varme, ventilation og køl</t>
  </si>
  <si>
    <t>#S0010</t>
  </si>
  <si>
    <t>Kontor, skoler og daginstitutioner, afløb</t>
  </si>
  <si>
    <t>#S0011</t>
  </si>
  <si>
    <t>Kontor, skoler og daginstitutioner, vand</t>
  </si>
  <si>
    <t>#S0012</t>
  </si>
  <si>
    <t>Kontor, skoler og daginstitutioner, varme, ventilation og køl</t>
  </si>
  <si>
    <t>#S0013</t>
  </si>
  <si>
    <t>Øvrige bygninger, afløb</t>
  </si>
  <si>
    <t>#S0014</t>
  </si>
  <si>
    <t>Øvrige bygninger, vand</t>
  </si>
  <si>
    <t>#S0015</t>
  </si>
  <si>
    <t>Øvrige bygninger, varme, ventilation og køl</t>
  </si>
  <si>
    <t>https://www.oekobaudat.de/OEKOBAU.DAT/resource/processes/f830ac7f-04a0-46e0-a5ed-1b66a09555f5?version=20.23.050</t>
  </si>
  <si>
    <t>https://www.oekobaudat.de/OEKOBAU.DAT/resource/processes/6d6d0d3f-79a3-461b-8a8c-fa4a78875da0?version=20.23.050</t>
  </si>
  <si>
    <t>https://www.oekobaudat.de/OEKOBAU.DAT/resource/processes/8f060568-aca6-4375-86f4-340b806962c4?version=20.23.050</t>
  </si>
  <si>
    <t>https://www.oekobaudat.de/OEKOBAU.DAT/resource/processes/2f04b410-9ca3-4984-a9f2-8475a6e9b5c1?version=20.23.050</t>
  </si>
  <si>
    <t>https://www.oekobaudat.de/OEKOBAU.DAT/resource/processes/02beebbe-d658-461d-9f3f-a80cc3c92a83?version=20.23.050</t>
  </si>
  <si>
    <t>https://www.oekobaudat.de/OEKOBAU.DAT/resource/processes/3d5b565c-187b-4413-ab45-3eaa89ede35d?version=20.23.050</t>
  </si>
  <si>
    <t>https://www.oekobaudat.de/OEKOBAU.DAT/resource/processes/24d554b6-a720-45a3-b80d-17a46e612f26?version=20.23.050</t>
  </si>
  <si>
    <t>https://www.oekobaudat.de/OEKOBAU.DAT/resource/processes/43312667-1727-4f43-b8ad-fe82268b7691?version=20.23.050</t>
  </si>
  <si>
    <t>https://www.oekobaudat.de/OEKOBAU.DAT/resource/processes/302acb89-846f-400c-ba6e-84640d360c1d?version=20.23.050</t>
  </si>
  <si>
    <t>https://www.oekobaudat.de/OEKOBAU.DAT/resource/processes/85fc79d8-ba39-4236-993e-eeb928d9ae6f?version=20.23.050</t>
  </si>
  <si>
    <t>https://www.oekobaudat.de/OEKOBAU.DAT/resource/processes/6af11f95-8ce6-4226-876b-7e14d486e5ec?version=20.23.050</t>
  </si>
  <si>
    <t>https://www.oekobaudat.de/OEKOBAU.DAT/resource/processes/6a3a34ff-d40c-474b-9039-4f8db6e7c732?version=20.23.050</t>
  </si>
  <si>
    <t>https://www.oekobaudat.de/OEKOBAU.DAT/resource/processes/49a70830-f0ff-4e1b-a0b7-4f4da313fa28?version=20.23.050</t>
  </si>
  <si>
    <t>https://www.oekobaudat.de/OEKOBAU.DAT/resource/processes/becd932f-899e-4b1b-962c-64ea26c51be0?version=20.23.050</t>
  </si>
  <si>
    <t>https://www.oekobaudat.de/OEKOBAU.DAT/resource/processes/702a41a1-d009-4c7b-9f4f-cd999f9da7de?version=20.23.050</t>
  </si>
  <si>
    <t>https://www.oekobaudat.de/OEKOBAU.DAT/resource/processes/8c53cf57-5414-449f-9a1e-c0041657fd50?version=20.23.050</t>
  </si>
  <si>
    <t>https://www.oekobaudat.de/OEKOBAU.DAT/resource/processes/649fd5c6-2c2d-47d9-9a1a-a567673c9fd0?version=20.23.050</t>
  </si>
  <si>
    <t>https://www.oekobaudat.de/OEKOBAU.DAT/resource/processes/2d81c58c-1cd9-40be-b7d2-96d7de6b9296?version=20.23.050</t>
  </si>
  <si>
    <t>https://www.oekobaudat.de/OEKOBAU.DAT/resource/processes/f34786e7-0953-4085-9f3d-955481cdd4ea?version=20.23.050</t>
  </si>
  <si>
    <t>https://www.oekobaudat.de/OEKOBAU.DAT/resource/processes/b923c64c-2da3-4f0c-ada3-5d1eeb884880?version=20.23.050</t>
  </si>
  <si>
    <t>https://www.oekobaudat.de/OEKOBAU.DAT/resource/processes/5a4cd709-d5a4-40ba-9557-d7a546bb4ce0?version=20.23.050</t>
  </si>
  <si>
    <t>https://www.oekobaudat.de/OEKOBAU.DAT/resource/processes/56674647-992d-4d42-8955-fb3617c1404e?version=20.23.050</t>
  </si>
  <si>
    <t>https://www.oekobaudat.de/OEKOBAU.DAT/resource/processes/3f617412-e411-4b33-b81f-27e1ec0a6545?version=20.23.050</t>
  </si>
  <si>
    <t>https://www.oekobaudat.de/OEKOBAU.DAT/resource/processes/3cf1e41b-66b6-4475-b69c-8866e267a02f?version=20.23.050</t>
  </si>
  <si>
    <t>https://www.oekobaudat.de/OEKOBAU.DAT/resource/processes/93f371be-ae3e-4baf-b607-5e2563a9288f?version=20.23.050</t>
  </si>
  <si>
    <t>https://www.oekobaudat.de/OEKOBAU.DAT/resource/processes/16e0f5b5-8090-4466-b303-7b8ae71110d8?version=20.23.050</t>
  </si>
  <si>
    <t>https://www.oekobaudat.de/OEKOBAU.DAT/resource/processes/467aee4d-03e3-4bf5-a916-8d279d5a5f29?version=20.23.050</t>
  </si>
  <si>
    <t>https://www.oekobaudat.de/OEKOBAU.DAT/resource/processes/5cddd8d6-f777-4c55-99c4-7f8cb9f23a75?version=20.23.050</t>
  </si>
  <si>
    <t>https://www.oekobaudat.de/OEKOBAU.DAT/resource/processes/e9cee0e5-e898-45dc-8431-a3ce91acb787?version=20.23.050</t>
  </si>
  <si>
    <t>https://www.oekobaudat.de/OEKOBAU.DAT/resource/processes/514b2993-2942-44b1-a4a5-a1b209f14d2a?version=20.23.050</t>
  </si>
  <si>
    <t>https://www.oekobaudat.de/OEKOBAU.DAT/resource/processes/8e1613f4-ef3e-4f4e-b337-c755c08cad6b?version=20.23.050</t>
  </si>
  <si>
    <t>https://www.oekobaudat.de/OEKOBAU.DAT/resource/processes/a7829637-2436-489c-9e94-6642817e1926?version=20.23.050</t>
  </si>
  <si>
    <t>https://www.oekobaudat.de/OEKOBAU.DAT/resource/processes/dc48d28c-1d88-4d35-bf71-1249cddd6740?version=20.23.050</t>
  </si>
  <si>
    <t>https://www.oekobaudat.de/OEKOBAU.DAT/resource/processes/656568b3-6a42-4a6e-917d-4ddcc3dca17b?version=20.23.050</t>
  </si>
  <si>
    <t>https://www.oekobaudat.de/OEKOBAU.DAT/resource/processes/9e9a625d-28eb-4dbd-8278-6da8088ab8a1?version=20.23.050</t>
  </si>
  <si>
    <t>https://www.oekobaudat.de/OEKOBAU.DAT/resource/processes/05655326-c0c0-4225-8ca4-987f112fc2ce?version=20.23.050</t>
  </si>
  <si>
    <t>https://www.oekobaudat.de/OEKOBAU.DAT/resource/processes/d6dc8844-4d8a-4abe-8ce9-db39c965f5bf?version=20.23.050</t>
  </si>
  <si>
    <t>https://www.oekobaudat.de/OEKOBAU.DAT/resource/processes/f7ad2652-d3a4-4d01-8f54-e668d1257ed1?version=20.23.050</t>
  </si>
  <si>
    <t>https://www.oekobaudat.de/OEKOBAU.DAT/resource/processes/2014a394-f4e5-47dd-9e8a-ee2628bd73f3?version=20.23.050</t>
  </si>
  <si>
    <t>https://www.oekobaudat.de/OEKOBAU.DAT/resource/processes/5030f4d2-b8ae-4a72-9c76-e21b0a7d9089?version=20.23.050</t>
  </si>
  <si>
    <t>https://www.oekobaudat.de/OEKOBAU.DAT/resource/processes/6899ae8e-86d3-42d0-a1ba-efe711b3aef2?version=20.23.050</t>
  </si>
  <si>
    <t>https://www.oekobaudat.de/OEKOBAU.DAT/resource/processes/2be89e89-3c8e-46cf-9315-2faeecec2ad0?version=20.23.050</t>
  </si>
  <si>
    <t>https://www.oekobaudat.de/OEKOBAU.DAT/resource/processes/3e5bc771-47de-4d5f-b01c-d64eec397dce?version=20.23.050</t>
  </si>
  <si>
    <t>https://www.oekobaudat.de/OEKOBAU.DAT/resource/processes/2662edec-0657-4889-bf64-4e811ac8e652?version=20.23.050</t>
  </si>
  <si>
    <t>https://www.oekobaudat.de/OEKOBAU.DAT/resource/processes/f2e87b9c-45a7-4b6c-bd81-1abb81e061e1?version=20.23.050</t>
  </si>
  <si>
    <t>https://www.oekobaudat.de/OEKOBAU.DAT/resource/processes/570bfed7-c3e0-4dd0-acd1-c23d32070edb?version=20.23.050</t>
  </si>
  <si>
    <t>https://www.oekobaudat.de/OEKOBAU.DAT/resource/processes/40ef1e7b-920d-4fe4-a8ec-3a540ef93c65?version=20.23.050</t>
  </si>
  <si>
    <t>https://www.oekobaudat.de/OEKOBAU.DAT/resource/processes/d2ca1ae9-8d5e-480e-bd57-70c73dd1da50?version=20.23.050</t>
  </si>
  <si>
    <t>https://www.oekobaudat.de/OEKOBAU.DAT/resource/processes/d03450fd-9438-43f7-9ee8-45faa63b1333?version=20.23.050</t>
  </si>
  <si>
    <t>https://www.oekobaudat.de/OEKOBAU.DAT/resource/processes/e6a19775-cdd4-40a5-a3bc-8d567c1cd4cc?version=20.23.050</t>
  </si>
  <si>
    <t>https://www.oekobaudat.de/OEKOBAU.DAT/resource/processes/97baa88a-6528-41c3-8943-1ee8094645f5?version=20.23.050</t>
  </si>
  <si>
    <t>https://www.oekobaudat.de/OEKOBAU.DAT/resource/processes/eeda9e75-727c-474d-8c54-3982cafe07d7?version=20.23.050</t>
  </si>
  <si>
    <t>https://www.oekobaudat.de/OEKOBAU.DAT/resource/processes/5a9bb863-f67d-4b2c-b34f-3eb8ed1c8b42?version=20.23.050</t>
  </si>
  <si>
    <t>https://www.oekobaudat.de/OEKOBAU.DAT/resource/processes/07d95427-572c-413c-ab1a-ef5e991c69ef?version=20.23.050</t>
  </si>
  <si>
    <t>https://www.oekobaudat.de/OEKOBAU.DAT/resource/processes/050c82cc-9f07-48c2-a365-c41b1fa4fb1e?version=20.23.050</t>
  </si>
  <si>
    <t>https://www.oekobaudat.de/OEKOBAU.DAT/resource/processes/eee26d67-c05d-4c1c-8502-0e42c91f37fc?version=20.23.050</t>
  </si>
  <si>
    <t>https://www.oekobaudat.de/OEKOBAU.DAT/resource/processes/d62953d2-61e8-427b-ada2-8a3c4e9756c1?version=20.23.050</t>
  </si>
  <si>
    <t>https://www.oekobaudat.de/OEKOBAU.DAT/resource/processes/6e54b3c4-5399-4579-bb31-397cc271e341?version=20.23.050</t>
  </si>
  <si>
    <t>https://www.oekobaudat.de/OEKOBAU.DAT/resource/processes/cc54d8cb-f26c-41ea-a152-8b28f7fb5b1d?version=20.23.050</t>
  </si>
  <si>
    <t>https://www.oekobaudat.de/OEKOBAU.DAT/resource/processes/3d1b480d-243f-4ff2-aa16-428e1a93f5d8?version=20.23.050</t>
  </si>
  <si>
    <t>https://www.oekobaudat.de/OEKOBAU.DAT/resource/processes/fa802cb7-a64d-48b3-b928-0f9976420d37?version=20.23.050</t>
  </si>
  <si>
    <t>https://www.oekobaudat.de/OEKOBAU.DAT/resource/processes/0ff1831a-bca2-44d0-a277-e416eb8a9b5a?version=20.23.050</t>
  </si>
  <si>
    <t>https://www.oekobaudat.de/OEKOBAU.DAT/resource/processes/8125026b-602d-47d5-9087-7470c457d10a?version=20.23.050</t>
  </si>
  <si>
    <t>https://www.oekobaudat.de/OEKOBAU.DAT/resource/processes/57a01f9b-798f-4a5d-b476-bd20c7bd25bd?version=20.23.050</t>
  </si>
  <si>
    <t>https://www.oekobaudat.de/OEKOBAU.DAT/resource/processes/c9d466d3-d5cb-4be6-9ae3-609212c4438a?version=20.23.050</t>
  </si>
  <si>
    <t>https://www.oekobaudat.de/OEKOBAU.DAT/resource/processes/fc1c6f12-1e04-4c51-9836-81a4d7743528?version=20.23.050</t>
  </si>
  <si>
    <t>https://www.oekobaudat.de/OEKOBAU.DAT/resource/processes/f877e931-42b3-4675-a6ea-82ad950eb831?version=20.23.050</t>
  </si>
  <si>
    <t>https://www.oekobaudat.de/OEKOBAU.DAT/resource/processes/fd7496b3-e4d0-45f6-838b-4db5bc3a66e8?version=20.23.050</t>
  </si>
  <si>
    <t>https://www.oekobaudat.de/OEKOBAU.DAT/resource/processes/d47c49c6-fb84-4b33-9710-bb442180823b?version=20.23.050</t>
  </si>
  <si>
    <t>https://www.oekobaudat.de/OEKOBAU.DAT/resource/processes/6d5a2172-9fb7-4dc6-914a-5cd09d6afdbd?version=20.23.050</t>
  </si>
  <si>
    <t>https://www.oekobaudat.de/OEKOBAU.DAT/resource/processes/5747cdb6-fb7d-4fbf-b7ee-38647ee470c7?version=20.23.050</t>
  </si>
  <si>
    <t>https://www.oekobaudat.de/OEKOBAU.DAT/resource/processes/4e679d88-9a0f-4ada-9210-5a6e1e020771?version=20.23.050</t>
  </si>
  <si>
    <t>https://www.oekobaudat.de/OEKOBAU.DAT/resource/processes/f421344b-6738-4e4a-82f3-10415fa9fc54?version=20.23.050</t>
  </si>
  <si>
    <t>https://www.oekobaudat.de/OEKOBAU.DAT/resource/processes/658b2d08-fd24-4d43-a469-203d594b2278?version=20.23.050</t>
  </si>
  <si>
    <t>https://www.oekobaudat.de/OEKOBAU.DAT/resource/processes/1bf43844-2f42-499e-a177-e65d98cbbf68?version=20.23.050</t>
  </si>
  <si>
    <t>https://www.oekobaudat.de/OEKOBAU.DAT/resource/processes/539f5cd0-4e0a-4aae-87eb-e018dbebea4d?version=20.23.050</t>
  </si>
  <si>
    <t>https://www.oekobaudat.de/OEKOBAU.DAT/resource/processes/2dc5d1cf-ffce-42c2-a127-f412f3ef5fe2?version=20.23.050</t>
  </si>
  <si>
    <t>https://www.oekobaudat.de/OEKOBAU.DAT/resource/processes/f0b03a7a-06f1-45c9-9597-e6c60907f3e0?version=20.23.050</t>
  </si>
  <si>
    <t>https://www.oekobaudat.de/OEKOBAU.DAT/resource/processes/7d0b5f1b-9490-4eda-af7e-5f1a01cbd149?version=20.23.050</t>
  </si>
  <si>
    <t>https://www.oekobaudat.de/OEKOBAU.DAT/resource/processes/ffd4bc0e-1d99-4e84-8710-6dcbf34a98a6?version=20.23.050</t>
  </si>
  <si>
    <t>https://www.oekobaudat.de/OEKOBAU.DAT/resource/processes/de4d3046-fd0c-479f-a1a6-ae13a9092fc7?version=20.23.050</t>
  </si>
  <si>
    <t>https://www.oekobaudat.de/OEKOBAU.DAT/resource/processes/d69d0bdd-c003-4038-b9b1-79bceda2e956?version=20.23.050</t>
  </si>
  <si>
    <t>https://www.oekobaudat.de/OEKOBAU.DAT/resource/processes/1121bd10-6918-441c-b18b-8264a277c919?version=20.23.050</t>
  </si>
  <si>
    <t>https://www.oekobaudat.de/OEKOBAU.DAT/resource/processes/03f8e9cd-16ee-4ece-93bc-b68441d34afe?version=20.23.050</t>
  </si>
  <si>
    <t>https://www.oekobaudat.de/OEKOBAU.DAT/resource/processes/d6eec5bf-7727-46ab-b1de-62ac94b90016?version=20.23.050</t>
  </si>
  <si>
    <t>https://www.oekobaudat.de/OEKOBAU.DAT/resource/processes/49ff9df1-d12d-48f6-a391-0d72d695ffcf?version=20.23.050</t>
  </si>
  <si>
    <t>https://www.oekobaudat.de/OEKOBAU.DAT/resource/processes/1d5bba40-a703-4d90-83fd-15593f5936b4?version=20.23.050</t>
  </si>
  <si>
    <t>https://www.oekobaudat.de/OEKOBAU.DAT/resource/processes/af88e99e-5662-41cf-bf12-d963cd8d0c4e?version=20.23.050</t>
  </si>
  <si>
    <t>https://www.oekobaudat.de/OEKOBAU.DAT/resource/processes/3511337e-eca7-487b-b185-a819a4b238ed?version=20.23.050</t>
  </si>
  <si>
    <t>https://www.oekobaudat.de/OEKOBAU.DAT/resource/processes/e80981a3-c7c4-4267-b669-0f31cfa61f06?version=20.23.050</t>
  </si>
  <si>
    <t>https://www.oekobaudat.de/OEKOBAU.DAT/resource/processes/2173d540-fc7c-4b77-af4f-9a53cdbfb834?version=20.23.050</t>
  </si>
  <si>
    <t>https://www.oekobaudat.de/OEKOBAU.DAT/resource/processes/3598f7e3-1be1-4a05-9d2e-f41ad4623ced?version=20.23.050</t>
  </si>
  <si>
    <t>https://www.oekobaudat.de/OEKOBAU.DAT/resource/processes/aeb54e7e-6950-41c5-a10e-0ba3b38ea774?version=20.23.050</t>
  </si>
  <si>
    <t>https://www.oekobaudat.de/OEKOBAU.DAT/resource/processes/6e95743d-cdf3-4646-a6ea-f9b2bb752821?version=20.23.050</t>
  </si>
  <si>
    <t>https://www.oekobaudat.de/OEKOBAU.DAT/resource/processes/2d42602d-9913-43ed-8703-d953f7854bca?version=20.23.050</t>
  </si>
  <si>
    <t>https://www.oekobaudat.de/OEKOBAU.DAT/resource/processes/46a05844-3fbf-47ef-889a-e7f1a4b4f825?version=20.23.050</t>
  </si>
  <si>
    <t>https://www.oekobaudat.de/OEKOBAU.DAT/resource/processes/f873f2a7-560a-410c-97e7-dfe121134b26?version=20.23.050</t>
  </si>
  <si>
    <t>https://www.oekobaudat.de/OEKOBAU.DAT/resource/processes/ad5f4666-dffa-45d4-abe4-fb5ab74d63e1?version=20.23.050</t>
  </si>
  <si>
    <t>https://www.oekobaudat.de/OEKOBAU.DAT/resource/processes/60203e0a-cd90-4ff9-8ec7-da3a1b0b1588?version=20.23.050</t>
  </si>
  <si>
    <t>https://www.oekobaudat.de/OEKOBAU.DAT/resource/processes/ec2ec7ad-8fe1-45c0-b767-8e6b6467ea3d?version=20.23.050</t>
  </si>
  <si>
    <t>https://www.oekobaudat.de/OEKOBAU.DAT/resource/processes/3830f872-628b-4e3f-8370-b7c6efcfcc70?version=20.23.050</t>
  </si>
  <si>
    <t>https://www.oekobaudat.de/OEKOBAU.DAT/resource/processes/c58cb849-f05f-4edf-af22-8f87c1f84975?version=20.23.050</t>
  </si>
  <si>
    <t>https://www.oekobaudat.de/OEKOBAU.DAT/resource/processes/3da2134f-da14-40fe-9861-84d4ccee9fef?version=20.23.050</t>
  </si>
  <si>
    <t>https://www.oekobaudat.de/OEKOBAU.DAT/resource/processes/8dec64ad-430f-4c96-bae1-e46814af2b70?version=20.23.050</t>
  </si>
  <si>
    <t>https://www.oekobaudat.de/OEKOBAU.DAT/resource/processes/9812f03c-2a15-40bf-9c10-05f6924a420f?version=20.23.050</t>
  </si>
  <si>
    <t>https://www.oekobaudat.de/OEKOBAU.DAT/resource/processes/11440edc-cfba-40af-bd2d-0db71afe444b?version=20.23.050</t>
  </si>
  <si>
    <t>https://www.oekobaudat.de/OEKOBAU.DAT/resource/processes/986d66de-db26-4512-a113-6e9486324d20?version=20.23.050</t>
  </si>
  <si>
    <t>https://www.oekobaudat.de/OEKOBAU.DAT/resource/processes/73f1bfa7-c79e-4129-bf1a-eee28cc3c85f?version=20.23.050</t>
  </si>
  <si>
    <t>https://www.oekobaudat.de/OEKOBAU.DAT/resource/processes/eda737e1-1012-4324-aff5-d070800468ab?version=20.23.050</t>
  </si>
  <si>
    <t>https://www.oekobaudat.de/OEKOBAU.DAT/resource/processes/f25983c6-104a-4d19-8d2a-c0dccafa2f3b?version=20.23.050</t>
  </si>
  <si>
    <t>https://www.oekobaudat.de/OEKOBAU.DAT/resource/processes/690ebc5b-80ad-47c3-8d26-8db3504c7d81?version=20.23.050</t>
  </si>
  <si>
    <t>https://www.oekobaudat.de/OEKOBAU.DAT/resource/processes/4a2a46c8-b646-4cf5-b2d7-72c2c1a27fae?version=20.23.050</t>
  </si>
  <si>
    <t>https://www.oekobaudat.de/OEKOBAU.DAT/resource/processes/b2afc2f7-d973-442f-bda4-5d37a047534f?version=20.23.050</t>
  </si>
  <si>
    <t>https://www.oekobaudat.de/OEKOBAU.DAT/resource/processes/8a29439a-9d91-44e7-b157-1432b44937f9?version=20.23.050</t>
  </si>
  <si>
    <t>https://www.oekobaudat.de/OEKOBAU.DAT/resource/processes/5dddc87c-6b72-4801-b822-4301138c99ce?version=20.23.050</t>
  </si>
  <si>
    <t>https://www.oekobaudat.de/OEKOBAU.DAT/resource/processes/47583aa9-56d9-4b39-8cc3-e3513210dd17?version=20.23.050</t>
  </si>
  <si>
    <t>https://www.oekobaudat.de/OEKOBAU.DAT/resource/processes/3f9ebd47-f93e-4fee-859a-13700134ee3c?version=20.23.050</t>
  </si>
  <si>
    <t>https://www.oekobaudat.de/OEKOBAU.DAT/resource/processes/e76bbf03-1aa3-4ebd-90b9-8abfeabb9766?version=20.23.050</t>
  </si>
  <si>
    <t>https://www.oekobaudat.de/OEKOBAU.DAT/resource/processes/bf575960-32e9-47f6-833e-cba96c88dbd2?version=20.23.050</t>
  </si>
  <si>
    <t>https://www.oekobaudat.de/OEKOBAU.DAT/resource/processes/fb68a5d1-82eb-4e36-b5bd-8db0f3ee7a6d?version=20.23.050</t>
  </si>
  <si>
    <t>https://www.oekobaudat.de/OEKOBAU.DAT/resource/processes/1edb805d-08dc-461e-8195-05a9865470d0?version=20.23.050</t>
  </si>
  <si>
    <t>https://www.oekobaudat.de/OEKOBAU.DAT/resource/processes/6505a4d0-df9a-4f7f-8a10-fa4ef36629ad?version=20.23.050</t>
  </si>
  <si>
    <t>https://www.oekobaudat.de/OEKOBAU.DAT/resource/processes/907545ae-8eac-47a7-9b1b-47a474a16749?version=20.23.050</t>
  </si>
  <si>
    <t>https://www.oekobaudat.de/OEKOBAU.DAT/resource/processes/6931f21e-27bd-4eb4-b80a-f1eab2817ee0?version=20.23.050</t>
  </si>
  <si>
    <t>https://www.oekobaudat.de/OEKOBAU.DAT/resource/processes/3c6051d0-2062-4a92-9f4c-0d48c911978d?version=20.23.050</t>
  </si>
  <si>
    <t>https://www.oekobaudat.de/OEKOBAU.DAT/resource/processes/34aa0d55-ab02-41f0-84e1-f8a28cc6280e?version=20.23.050</t>
  </si>
  <si>
    <t>https://www.oekobaudat.de/OEKOBAU.DAT/resource/processes/fb2fb3cd-df97-4077-99fd-082117ba81f6?version=20.23.050</t>
  </si>
  <si>
    <t>https://www.oekobaudat.de/OEKOBAU.DAT/resource/processes/acf6b988-2458-4ddc-aef8-9a6cd3a78485?version=20.23.050</t>
  </si>
  <si>
    <t>https://www.oekobaudat.de/OEKOBAU.DAT/resource/processes/c1d62b9b-d4bb-4220-b5b5-d078d527f457?version=20.23.050</t>
  </si>
  <si>
    <t>https://www.oekobaudat.de/OEKOBAU.DAT/resource/processes/4906fae7-6013-4d08-a765-642314c0bfd2?version=20.23.050</t>
  </si>
  <si>
    <t>https://www.oekobaudat.de/OEKOBAU.DAT/resource/processes/8aa75389-7865-41ad-9763-6252c5ab1fe5?version=20.23.050</t>
  </si>
  <si>
    <t>https://www.oekobaudat.de/OEKOBAU.DAT/resource/processes/9eae2fed-dba0-4641-b1cc-fd2cc65f2016?version=20.23.050</t>
  </si>
  <si>
    <t>https://www.oekobaudat.de/OEKOBAU.DAT/resource/processes/e0fdab1d-684b-44a5-8453-ef0f887addab?version=20.23.050</t>
  </si>
  <si>
    <t>https://www.oekobaudat.de/OEKOBAU.DAT/resource/processes/96fd0760-5c7a-4ab6-a29a-050b68fc9c69?version=20.23.050</t>
  </si>
  <si>
    <t>https://www.oekobaudat.de/OEKOBAU.DAT/resource/processes/2632f4e8-7671-4d87-a8bc-9defdb54d117?version=20.23.050</t>
  </si>
  <si>
    <t>https://www.oekobaudat.de/OEKOBAU.DAT/resource/processes/b6e9b76b-5be6-4b7b-be40-c32da896190f?version=20.23.050</t>
  </si>
  <si>
    <t>https://www.oekobaudat.de/OEKOBAU.DAT/resource/processes/bd992ce2-8dd4-4af5-bca1-72dcbf2b5506?version=20.23.050</t>
  </si>
  <si>
    <t>https://www.oekobaudat.de/OEKOBAU.DAT/resource/processes/b35b5d3f-ba8d-4dab-84c1-d32ca56f8e7d?version=20.23.050</t>
  </si>
  <si>
    <t>https://www.oekobaudat.de/OEKOBAU.DAT/resource/processes/cc68520e-a68c-4d9c-b343-38575a1ff57c?version=20.23.050</t>
  </si>
  <si>
    <t>https://www.oekobaudat.de/OEKOBAU.DAT/resource/processes/53498e40-4f1d-42cb-8b40-911229d5acef?version=20.23.050</t>
  </si>
  <si>
    <t>https://www.oekobaudat.de/OEKOBAU.DAT/resource/processes/3a5143bc-b790-4ee2-9952-2ec580023d43?version=20.23.050</t>
  </si>
  <si>
    <t>https://www.oekobaudat.de/OEKOBAU.DAT/resource/processes/ec371486-0d42-4381-a4bb-95596c31c202?version=20.23.050</t>
  </si>
  <si>
    <t>#G0015</t>
  </si>
  <si>
    <t>Nedzink naturel</t>
  </si>
  <si>
    <t>http://www.oekobaudat.de/OEKOBAU.DAT/resource/processes/43eaba9f-7c2a-4132-83af-054962477a58?version=00.01.000</t>
  </si>
  <si>
    <t>#D1632</t>
  </si>
  <si>
    <t>#D1633</t>
  </si>
  <si>
    <t>#D1634</t>
  </si>
  <si>
    <t>#D1635</t>
  </si>
  <si>
    <t>Rektangulære ventilationskanaler af galvaniseret stål</t>
  </si>
  <si>
    <t>Rectangular ventilation ducts</t>
  </si>
  <si>
    <t>Udarbejdet af SBST med konservativ faktor 1,1, uden konservativ faktor for modul D</t>
  </si>
  <si>
    <t>Masse enhed</t>
  </si>
  <si>
    <t>Trægulv, ubehandlet, 13 mm</t>
  </si>
  <si>
    <t>Trægulv, overfladebehandlet, 18 mm</t>
  </si>
  <si>
    <t>Danish name</t>
  </si>
  <si>
    <t>id</t>
  </si>
  <si>
    <t>unit</t>
  </si>
  <si>
    <t>UUID</t>
  </si>
  <si>
    <t>M2</t>
  </si>
  <si>
    <t>M2 with R=1 M2K/W</t>
  </si>
  <si>
    <t>M3</t>
  </si>
  <si>
    <t>3-lags-rude</t>
  </si>
  <si>
    <t>2633e48e-1e63-5765-aba6-aa6b6b683de0</t>
  </si>
  <si>
    <t>Afretningslag, cementbaseret</t>
  </si>
  <si>
    <t>e376df1c-29c6-5928-8bcc-2bfdd08bd63e</t>
  </si>
  <si>
    <t>Afretningslag, hårdeplast</t>
  </si>
  <si>
    <t>cb07a54a-f9aa-5139-840b-03db8db822e5</t>
  </si>
  <si>
    <t>Aircondition (direkte fordamper) (per 1 kW)</t>
  </si>
  <si>
    <t>4e027c0a-b06c-5003-ae4a-cc13b31f4ef9</t>
  </si>
  <si>
    <t>Aluminium, støbegods</t>
  </si>
  <si>
    <t>105a2244-c406-5ac7-8695-d1e2b2ed0e8f</t>
  </si>
  <si>
    <t>Aluminiumsfolie (d=0,1 mm)</t>
  </si>
  <si>
    <t>3956c273-6549-57a3-a889-1ba0b51832e4</t>
  </si>
  <si>
    <t>Aluminiumsplade</t>
  </si>
  <si>
    <t>a1dbf112-7b04-5e88-9bf8-380a14e48f84</t>
  </si>
  <si>
    <t>Aluminiumsprofil</t>
  </si>
  <si>
    <t>f181bb37-59db-5203-897e-b3b4da47173d</t>
  </si>
  <si>
    <t>Ammoniak (R717)</t>
  </si>
  <si>
    <t>8dd8910c-0a03-557f-b4d2-7b9ed709ce72</t>
  </si>
  <si>
    <t>Anhydrit mix</t>
  </si>
  <si>
    <t>d9b64c96-49b6-5267-8b3e-ade0e43b6f14</t>
  </si>
  <si>
    <t>Armeringsnet</t>
  </si>
  <si>
    <t>b3c6e51a-db0c-52e5-a0f1-1d416dbf5c33</t>
  </si>
  <si>
    <t>Asfalt, bærelag</t>
  </si>
  <si>
    <t>fff4fb8e-9d9a-53fc-be3a-2573ad3321a1</t>
  </si>
  <si>
    <t>Badekar, bruserbakke, akryl</t>
  </si>
  <si>
    <t>97f288ec-2816-538a-8a23-cbf9301253d6</t>
  </si>
  <si>
    <t>Beslag til dreje-kip vinduer (aluminium)</t>
  </si>
  <si>
    <t>6e60c01d-bb86-5504-9dbd-b2963095e119</t>
  </si>
  <si>
    <t>Beslag til lodrette skydevinduer</t>
  </si>
  <si>
    <t>2ac87707-ca69-5b6d-86e8-d230a8bc3816</t>
  </si>
  <si>
    <t>Beslag til vandrette skydevinduer</t>
  </si>
  <si>
    <t>451fa084-4d91-5678-88d4-08d7e9ee210a</t>
  </si>
  <si>
    <t>Beslag, stålvindue</t>
  </si>
  <si>
    <t>c5939aa5-cffa-5b48-8a15-1596965255fb</t>
  </si>
  <si>
    <t>Beton C20 / 25, Fabriksbeton</t>
  </si>
  <si>
    <t>11c8727c-e603-52e6-882d-ce650729a8a0</t>
  </si>
  <si>
    <t>Beton C20/25, fabriksbeton og betonelementer</t>
  </si>
  <si>
    <t>5f464347-6b38-555a-bdfd-919aec555b07</t>
  </si>
  <si>
    <t>Beton C25/30, fabriksbeton og betonelementer</t>
  </si>
  <si>
    <t>143d86f7-ff42-5dc1-b4dc-045467dc13e5</t>
  </si>
  <si>
    <t>Beton C30 / 37, Fabriksbeton</t>
  </si>
  <si>
    <t>d73dfc6b-1f26-540c-9e20-56eb2d7df705</t>
  </si>
  <si>
    <t>Beton C30/37, fabriksbeton og betonelementer</t>
  </si>
  <si>
    <t>067ce587-2090-5cd3-9ed1-329610dc7651</t>
  </si>
  <si>
    <t>Beton C35/45, fabriksbeton og betonelementer</t>
  </si>
  <si>
    <t>3e4d4270-776d-5d24-83e8-90e4fbba74dc</t>
  </si>
  <si>
    <t>Beton C45/55, fabriksbeton og betonelementer</t>
  </si>
  <si>
    <t>63ef9dc2-29cc-5bc2-9b47-926c46048893</t>
  </si>
  <si>
    <t>Beton C50/60, fabriksbeton og betonelementer</t>
  </si>
  <si>
    <t>986ef42e-f7ca-5cc6-af85-4673aaea72c1</t>
  </si>
  <si>
    <t>Betonelement, dæk, 20cm</t>
  </si>
  <si>
    <t>4aa6d8cf-c5aa-513c-9551-5444067c9ca7</t>
  </si>
  <si>
    <t>Betonelement, etagedæk, 40 cm</t>
  </si>
  <si>
    <t>4abee8bb-ea73-5c82-8719-d84decfabfe8</t>
  </si>
  <si>
    <t>Betonelement, væg, 12cm</t>
  </si>
  <si>
    <t>0619e850-0779-550b-a979-372fff2b2ddd</t>
  </si>
  <si>
    <t>Betonelement, væg, 40 cm</t>
  </si>
  <si>
    <t>238e2d30-abc8-586e-9e43-e74868ad70f7</t>
  </si>
  <si>
    <t>Betonmursten</t>
  </si>
  <si>
    <t>4d5b5fc5-3a7f-5e7e-82f2-750440ed1f52</t>
  </si>
  <si>
    <t>Betonrør, armeret</t>
  </si>
  <si>
    <t>718eca41-b0e2-596b-9ff7-292e5f46c9e8</t>
  </si>
  <si>
    <t>5f53f099-bee7-5478-ad3a-cb455d5c8c02</t>
  </si>
  <si>
    <t>Betontrappe, etagehøj</t>
  </si>
  <si>
    <t>b8e2846d-3535-5de5-b915-bddbce5257cd</t>
  </si>
  <si>
    <t>Bindelag</t>
  </si>
  <si>
    <t>59d2774b-9829-581f-aee2-54f589203c36</t>
  </si>
  <si>
    <t>Bitumenemulsion (40% bitumen, 60% vand)</t>
  </si>
  <si>
    <t>9b6ad11e-fbad-5583-bb4d-4cd56572fcf1</t>
  </si>
  <si>
    <t>Bitumenklæber</t>
  </si>
  <si>
    <t>7ee18f05-d80d-5626-911f-ecfa7ca9a6e9</t>
  </si>
  <si>
    <t>Blyplader</t>
  </si>
  <si>
    <t>5a1ad173-c2e0-5684-8fd4-e520f10dc9e5</t>
  </si>
  <si>
    <t>Boksventilator 10.000 m³/h</t>
  </si>
  <si>
    <t>d7a77915-c150-5459-bc74-4c9f50050365</t>
  </si>
  <si>
    <t>Boksventilator 30.000 m³/h</t>
  </si>
  <si>
    <t>92fd8679-8392-51d5-af43-ce89ca00faf0</t>
  </si>
  <si>
    <t>Boksventilator 5.000 m³/h</t>
  </si>
  <si>
    <t>5948269e-d894-51ea-9916-f916a53b52e1</t>
  </si>
  <si>
    <t>Bomuld</t>
  </si>
  <si>
    <t>b6c8f648-e7bc-5660-8e3d-c038ed2219a4</t>
  </si>
  <si>
    <t>Bomuld, økologisk</t>
  </si>
  <si>
    <t>aa20b800-8258-5354-9777-5311585f8ca6</t>
  </si>
  <si>
    <t>Brandsikkert glas</t>
  </si>
  <si>
    <t>1fb1c391-732d-5365-8980-d9d183fe3426</t>
  </si>
  <si>
    <t>Brugsvandsrør, Alu-PEX</t>
  </si>
  <si>
    <t>09bc1b03-18ed-5976-b91e-68a54c3e5f0a</t>
  </si>
  <si>
    <t>Brugsvandsrør, PB</t>
  </si>
  <si>
    <t>8d86a31e-d5ef-5591-a3fe-9fb1f12f7038</t>
  </si>
  <si>
    <t>Brugsvandsrør, PEX-Alu-PEX</t>
  </si>
  <si>
    <t>e2535ae5-a48d-57b3-a6fa-96fba179c190</t>
  </si>
  <si>
    <t>Brugsvandsrør, rustfast stål</t>
  </si>
  <si>
    <t>6b327cc9-655c-5660-91c6-ecd817a252ee</t>
  </si>
  <si>
    <t>Buffertank, rustfast stål</t>
  </si>
  <si>
    <t>c08d0cb3-fbf9-5f85-bada-d22d3e534c7a</t>
  </si>
  <si>
    <t>Buffertank, stål</t>
  </si>
  <si>
    <t>5adf7188-99b8-56d9-b13c-d875643be861</t>
  </si>
  <si>
    <t>Byggepap</t>
  </si>
  <si>
    <t>e986e730-39ca-5717-8765-793b73fd4f40</t>
  </si>
  <si>
    <t>8ff548d6-9c02-5f72-ac8d-74349e17b6a2</t>
  </si>
  <si>
    <t>CR-profil til forsejling (chloropren gummi)</t>
  </si>
  <si>
    <t>0a10b816-3378-5fec-b7c2-89ff0cdf08fb</t>
  </si>
  <si>
    <t>Celleglas-isolering 115 kg/m³</t>
  </si>
  <si>
    <t>e662f0b8-9a21-57ca-8e98-642d3dc20436</t>
  </si>
  <si>
    <t>Cement II 325</t>
  </si>
  <si>
    <t>8802bf1e-3312-540b-bfc8-daf96f20633d</t>
  </si>
  <si>
    <t>Cement II 425</t>
  </si>
  <si>
    <t>f06a7760-719a-5504-9278-eeb2bc1ff567</t>
  </si>
  <si>
    <t>Cement II 525</t>
  </si>
  <si>
    <t>aa834931-e3d7-502d-8cb4-4c5eb112ff28</t>
  </si>
  <si>
    <t>Cement IIA</t>
  </si>
  <si>
    <t>a9430210-ecb2-5270-a45a-ba7cd6a7a049</t>
  </si>
  <si>
    <t>Cement IIB</t>
  </si>
  <si>
    <t>e2432b1f-4a18-5cdd-8ad8-9467eb8ceded</t>
  </si>
  <si>
    <t>Cement III 425</t>
  </si>
  <si>
    <t>24660372-6995-5a65-9f1c-36a1e249a12c</t>
  </si>
  <si>
    <t>Cement III 525</t>
  </si>
  <si>
    <t>441ab995-9b17-5941-af3a-18e1cbee9b75</t>
  </si>
  <si>
    <t>Cement IV 325</t>
  </si>
  <si>
    <t>236636e6-02f7-5dcb-8afe-a4723060298e</t>
  </si>
  <si>
    <t>Cement IV 425</t>
  </si>
  <si>
    <t>5e35bdcb-64cd-5b57-8305-9ff8a7adce84</t>
  </si>
  <si>
    <t>Cementbundet spånplade</t>
  </si>
  <si>
    <t>d762565c-224a-5689-a76b-0ae8b18a50aa</t>
  </si>
  <si>
    <t>Cirkulationspumpe 250-1000 W</t>
  </si>
  <si>
    <t>08e14bb3-573d-5255-adc9-4bf230556711</t>
  </si>
  <si>
    <t>Cirkulationspumpe 50-250 W</t>
  </si>
  <si>
    <t>3b7011ba-8153-59b6-8729-deb3114c0a44</t>
  </si>
  <si>
    <t>Cirkulationspumpe &lt; 50 W</t>
  </si>
  <si>
    <t>03696225-044f-50a2-8051-e81c8af7978d</t>
  </si>
  <si>
    <t>Curtain wall facade med 3-lags ruder, aluminium</t>
  </si>
  <si>
    <t>6d1ae546-d4e4-5408-9a60-c00fe201f9ae</t>
  </si>
  <si>
    <t>Curtain wall facade med 3-lags ruder, stål</t>
  </si>
  <si>
    <t>d2cad8c6-0489-5911-a693-8c3eef18474c</t>
  </si>
  <si>
    <t>Curtain wall profiler, aluminium</t>
  </si>
  <si>
    <t>f0b3b24d-f691-5512-b1d2-41b76758c282</t>
  </si>
  <si>
    <t>Curtain wall profiler, stål</t>
  </si>
  <si>
    <t>9361290b-5650-5d0f-81fe-9ed2c487720c</t>
  </si>
  <si>
    <t>Dampspærre PA</t>
  </si>
  <si>
    <t>7f104e91-a828-5cfa-b201-5f2606fdebb8</t>
  </si>
  <si>
    <t>Dampspærre PE (tykkelse 0,0002 m)</t>
  </si>
  <si>
    <t>e404aab3-95b9-5cf1-819c-6812b9f536eb</t>
  </si>
  <si>
    <t>Dampspærre, bitumen</t>
  </si>
  <si>
    <t>f383c98c-ad3d-5f86-b0fe-f6684aa90dcf</t>
  </si>
  <si>
    <t>Datakabel, Netværkskabel, PVC</t>
  </si>
  <si>
    <t>65140ff9-2c24-570c-b9f0-164e0545f044</t>
  </si>
  <si>
    <t>Decentralt ventilationsanlæg med varmegenvinding (væg &amp; loft) 60 m3 / h</t>
  </si>
  <si>
    <t>3a234870-ea21-556f-90b8-2df9298d9eb4</t>
  </si>
  <si>
    <t>Difluormethan (R32)</t>
  </si>
  <si>
    <t>f030bc0a-3b66-5b31-9d30-3c9ce3473891</t>
  </si>
  <si>
    <t>Downlight armatur, 18W (CFL, G24d)</t>
  </si>
  <si>
    <t>f70e3c2f-5182-591a-9dc9-beb1723dd7f5</t>
  </si>
  <si>
    <t>Dør, alu, T30/EI30</t>
  </si>
  <si>
    <t>019fdeb8-15a2-568c-ab91-702c94dd2a28</t>
  </si>
  <si>
    <t>Dør, alu, T90/EI90</t>
  </si>
  <si>
    <t>840810d4-ffac-5bef-9dd7-6204d937d76a</t>
  </si>
  <si>
    <t>Dør, alu, hoveddør</t>
  </si>
  <si>
    <t>989c41bc-0e89-5e85-aa07-0a59137a11bb</t>
  </si>
  <si>
    <t>Dør, alu, røgdør</t>
  </si>
  <si>
    <t>d2e97db0-a6e1-53a8-9b7c-70ab4b0c1bdc</t>
  </si>
  <si>
    <t>Dør, industriport</t>
  </si>
  <si>
    <t>6f2e6192-2369-5ae1-8de5-8bcf98a8b3df</t>
  </si>
  <si>
    <t>Dør, stål, indv/udv/brand/røg mv</t>
  </si>
  <si>
    <t>3f747cdc-31af-55a6-a5d1-91c21afa7fba</t>
  </si>
  <si>
    <t>ECB-plast tagmembran, ifølge DIN 16729 (med PES-filt)</t>
  </si>
  <si>
    <t>1c8c3e9c-543f-525c-8148-269285dc7619</t>
  </si>
  <si>
    <t>EPDM skum (rørisolering)</t>
  </si>
  <si>
    <t>b5f035fe-d671-5826-bbfd-95fe1607bff7</t>
  </si>
  <si>
    <t>EPDM-tætning til aluminiumsprofil</t>
  </si>
  <si>
    <t>12fd2daa-3f6d-5070-9ea6-e038acf97450</t>
  </si>
  <si>
    <t>EPDM-tætning til aluminiumsprofil, med kuldebroafbrydelse</t>
  </si>
  <si>
    <t>9b5eb347-b5ec-5967-bd4e-4155dc817849</t>
  </si>
  <si>
    <t>EPS isolering (grå) med termisk strålings absorber</t>
  </si>
  <si>
    <t>8cb16eb5-c721-5de9-9d18-c1f931d07730</t>
  </si>
  <si>
    <t>EPS isolering til lofter / gulve og kælderydervæg / terrændæk 035</t>
  </si>
  <si>
    <t>530b131d-5f9a-5674-b6ef-5675e1f9f66f</t>
  </si>
  <si>
    <t>EPS isolering til lofter / gulve og kælderydervæg / terrændæk 040</t>
  </si>
  <si>
    <t>0ace3898-8fde-5f73-9a05-9969819f9dd7</t>
  </si>
  <si>
    <t>EPS isolering til vægge og tage 035</t>
  </si>
  <si>
    <t>5238954e-2087-5df4-a772-19ee57531d64</t>
  </si>
  <si>
    <t>EPS isolering til vægge og tage 040</t>
  </si>
  <si>
    <t>f941bd8c-16e5-5c06-a5a2-53de9f62314b</t>
  </si>
  <si>
    <t>ETICS limning og mineralsk letpuds</t>
  </si>
  <si>
    <t>7f0bb6fe-aa16-5dc3-88c4-cd2f374ed4d3</t>
  </si>
  <si>
    <t>ETICS limning og mineralsk puds (Dekorputz)</t>
  </si>
  <si>
    <t>c717477d-18a5-5fb5-8c27-f39d313037e4</t>
  </si>
  <si>
    <t>ETICS limning og mineralsk puds (Kratzputz)</t>
  </si>
  <si>
    <t>840b7da7-4268-50af-8408-3c03e10b4a4e</t>
  </si>
  <si>
    <t>ETICS limning og silikonepuds</t>
  </si>
  <si>
    <t>a692c387-918d-51ea-a0cd-cc0c92249b2c</t>
  </si>
  <si>
    <t>ETICS-limning og belægning af silikatdispersionspuds</t>
  </si>
  <si>
    <t>0e5cfef7-d391-5890-877a-4f6f421189d4</t>
  </si>
  <si>
    <t>ETICS-limning og belægning af syntetisk harpikspuds</t>
  </si>
  <si>
    <t>7fb60136-3f9b-5fff-96cc-281e14222dd9</t>
  </si>
  <si>
    <t>EVA-tagmembran</t>
  </si>
  <si>
    <t>a89b8115-43fa-5b8d-96d0-08b15db92e2b</t>
  </si>
  <si>
    <t>Ekspanderet Ler, sand</t>
  </si>
  <si>
    <t>875529e8-3077-57a2-94b2-40e81f287df1</t>
  </si>
  <si>
    <t>Ekspanderet glasgranulat</t>
  </si>
  <si>
    <t>9da9a1b5-6a48-5297-ba5c-135e949e404e</t>
  </si>
  <si>
    <t>Ekspanderet skifer</t>
  </si>
  <si>
    <t>04f8e47f-8f98-5c19-b4bd-1ce309cd3b82</t>
  </si>
  <si>
    <t>El-varmepumpe (lodret jordvarme, saltvand) 10 kW</t>
  </si>
  <si>
    <t>6fe044ad-02e2-5ee8-9219-eece44bd9c02</t>
  </si>
  <si>
    <t>El-varmepumpe (lodret jordvarme, saltvand) 20 kW</t>
  </si>
  <si>
    <t>8c5fb043-f1ed-5470-a283-75f95253e178</t>
  </si>
  <si>
    <t>Elastomer-fugebånd, polysulfid</t>
  </si>
  <si>
    <t>e5ad0682-ff92-5ff4-9924-18790fe91f03</t>
  </si>
  <si>
    <t>Elastomer-fugebånd, silikonegummi</t>
  </si>
  <si>
    <t>8d1e88d5-63a7-5913-8736-c4a02e7f11af</t>
  </si>
  <si>
    <t>Elektromagnetisk forkobling</t>
  </si>
  <si>
    <t>8d425cb9-2126-53bc-88b4-b3321140a58c</t>
  </si>
  <si>
    <t>Elektronisk forkobling</t>
  </si>
  <si>
    <t>87556d63-682f-569c-8a28-c1636043e91b</t>
  </si>
  <si>
    <t>Elevator (grundkomponenter pr. stk.)</t>
  </si>
  <si>
    <t>c8e2bff5-00d0-56c8-a619-a2af29870f04</t>
  </si>
  <si>
    <t>Elevator (komponenter pr. etage)</t>
  </si>
  <si>
    <t>68dab19b-ae96-51a4-b4c1-1fcf137f4aa5</t>
  </si>
  <si>
    <t>Elkabel, 1-leder, PVC, 15 kg kobber</t>
  </si>
  <si>
    <t>a0a311ff-72a7-5137-aa4e-dadba80a6194</t>
  </si>
  <si>
    <t>Elkabel, 3-leder, PVC, 45 kg kobber</t>
  </si>
  <si>
    <t>e5be86be-69f1-55c0-bafe-2e6d9fb40c5d</t>
  </si>
  <si>
    <t>Elkabel, 5-leder, PVC, 75 kg kobber</t>
  </si>
  <si>
    <t>3f99b248-20a1-511c-b621-f3f84ca07a14</t>
  </si>
  <si>
    <t>Facadeklinker</t>
  </si>
  <si>
    <t>8e483645-aeb2-57ae-9b0d-5bd7ac85006e</t>
  </si>
  <si>
    <t>Fastgørelsesmidler/skruer i galvaniseret stål</t>
  </si>
  <si>
    <t>5eda9557-f3c9-53df-a789-fa7814f516e1</t>
  </si>
  <si>
    <t>Fastgørelsesmidler/skruer i rustfrit stål</t>
  </si>
  <si>
    <t>78038c3d-52f7-5560-899d-819bee7c2d1d</t>
  </si>
  <si>
    <t>99bbbb92-f3ab-5c9e-ab05-7582403446bc</t>
  </si>
  <si>
    <t>Fiberdug, PE / PP</t>
  </si>
  <si>
    <t>bdb8f04e-36f4-5941-a0fb-a56747b01108</t>
  </si>
  <si>
    <t>7e2dcc42-4bed-547e-bb98-582f220411e0</t>
  </si>
  <si>
    <t>Fladtagsvindue, plast (komplet vindue)</t>
  </si>
  <si>
    <t>6add4ff0-2f25-5da4-99b7-045992010ab0</t>
  </si>
  <si>
    <t>Fliser, uglaseret stentøj</t>
  </si>
  <si>
    <t>d5e3af1b-87bf-5061-a6bd-5ba4c38f3e49</t>
  </si>
  <si>
    <t>Folie til grønt tag</t>
  </si>
  <si>
    <t>88aac703-b1c5-554c-b2d8-bae4954480bf</t>
  </si>
  <si>
    <t>Folie, PE-HD med PP-fiberdug</t>
  </si>
  <si>
    <t>d1f0ffc9-3e7d-5e75-84c6-8538b7d5506d</t>
  </si>
  <si>
    <t>Fugebånd PE / PP-folie</t>
  </si>
  <si>
    <t>e0b36bab-085b-5120-84cd-cced00fedbc9</t>
  </si>
  <si>
    <t>Fugebånd, butyl</t>
  </si>
  <si>
    <t>7b29971b-47fa-5f4a-83b0-ab4db83429af</t>
  </si>
  <si>
    <t>Fugebånd, elastomer, polyurethan</t>
  </si>
  <si>
    <t>d5659294-d036-5901-a6d3-ebb1e89129ab</t>
  </si>
  <si>
    <t>Fugebånd, polyisobutylen</t>
  </si>
  <si>
    <t>c5fb6ab3-ca69-5c66-a929-856f73f054c1</t>
  </si>
  <si>
    <t>Fugebånd, tekstil</t>
  </si>
  <si>
    <t>679cea9a-425c-5993-978c-d7c20f80d1c7</t>
  </si>
  <si>
    <t>Fugemasse, Acryl</t>
  </si>
  <si>
    <t>21effa50-8f95-50df-a3dd-303d77e7665a</t>
  </si>
  <si>
    <t>Fugemasse, Silikone</t>
  </si>
  <si>
    <t>1bcc6bf1-618a-5846-8bb5-447c366896fd</t>
  </si>
  <si>
    <t>Fugemørtel</t>
  </si>
  <si>
    <t>7467b10e-d140-5158-b15e-91bcf2f0bfb8</t>
  </si>
  <si>
    <t>Fugtisolering, grundmursplade, PE</t>
  </si>
  <si>
    <t>ab4e716e-907b-5628-a2ae-27658399ce44</t>
  </si>
  <si>
    <t>Gas varmepumpe (luft) 20-70 kW</t>
  </si>
  <si>
    <t>39dd3ef0-bd6d-5716-956c-9188e93a116d</t>
  </si>
  <si>
    <t>Gaskedel, kondenserende, 120-400 kW</t>
  </si>
  <si>
    <t>1f75a72d-b473-5fe1-aa06-589dba893d35</t>
  </si>
  <si>
    <t>Gaskedel, kondenserende, 20-120 kW</t>
  </si>
  <si>
    <t>312f7995-ff8f-5f78-8705-a55a2f2af0a0</t>
  </si>
  <si>
    <t>Gaskedel, kondenserende, &lt; 20 kW</t>
  </si>
  <si>
    <t>c6dbcd8e-2053-5075-b8ab-9398417f819b</t>
  </si>
  <si>
    <t>Gips, beta-halvhydrat</t>
  </si>
  <si>
    <t>22ab1e14-8f5e-53ab-b486-2aac8d322ab7</t>
  </si>
  <si>
    <t>Gips, tørstof (gipsfiberplade) (tykkelse 0,025 m)</t>
  </si>
  <si>
    <t>25941cb9-1110-50a3-a3c3-05f9f5e62014</t>
  </si>
  <si>
    <t>Gips, tørstof (gipskartonplade) (tykkelse 0,025 m)</t>
  </si>
  <si>
    <t>1c219127-3373-51c5-b743-3f6d2c1b01ae</t>
  </si>
  <si>
    <t>Gips, vægplade (tykkelse 0,1 m)</t>
  </si>
  <si>
    <t>0070b2a8-d944-5fed-aee0-167f154557a0</t>
  </si>
  <si>
    <t>Gipsfiberplade 10 mm</t>
  </si>
  <si>
    <t>a74004db-96fb-5d5c-b6fa-d1b4cfdee24a</t>
  </si>
  <si>
    <t>Gipskartonplade 13 mm, hulplade</t>
  </si>
  <si>
    <t>e9abdab3-a5a1-56bf-8052-085f963d06ad</t>
  </si>
  <si>
    <t>Gipskartonplade 13 mm, imprægneret</t>
  </si>
  <si>
    <t>d395fa1a-9506-5b9d-9cb2-4300f7679a4e</t>
  </si>
  <si>
    <t>Gipskartonplade, brandimprægneret</t>
  </si>
  <si>
    <t>4e31b812-a7c3-53ab-9e90-6c8bf22b3c72</t>
  </si>
  <si>
    <t>Gipspulver, Alpha-halvhydrat</t>
  </si>
  <si>
    <t>6a7d710d-9aab-5f3e-bf94-65e22b28d98a</t>
  </si>
  <si>
    <t>Gipssten</t>
  </si>
  <si>
    <t>d5cf33f5-a025-5000-a1dd-eb7741310364</t>
  </si>
  <si>
    <t>Gitterlampe 2x T8-36W (LFL)</t>
  </si>
  <si>
    <t>99c95c9e-8448-5904-89d8-e747b9f14dda</t>
  </si>
  <si>
    <t>Gitterlampe integreret i loft 2x T5-28W (LFL)</t>
  </si>
  <si>
    <t>e4cb1509-8c7f-5e43-975f-291970760ee9</t>
  </si>
  <si>
    <t>Gitterlampe integreret i loft 3x T5-14W (LFL)</t>
  </si>
  <si>
    <t>98e3ea19-b0d2-59cc-a167-f51f737802e4</t>
  </si>
  <si>
    <t>Gitterlampe integreret i loft 3x T8-18W (LFL)</t>
  </si>
  <si>
    <t>2d7e9b80-4622-5e75-8b4e-60caf1457f49</t>
  </si>
  <si>
    <t>Glas 3 mm</t>
  </si>
  <si>
    <t>3f396782-a9c4-565c-a174-a13639757ea9</t>
  </si>
  <si>
    <t>Glasbyggesten</t>
  </si>
  <si>
    <t>d4b7eef6-890b-52cb-a196-c75c7914dda0</t>
  </si>
  <si>
    <t>Glasfiber-forstærket plast, polyester (30% fiberandel)</t>
  </si>
  <si>
    <t>7d47b8da-1681-5b4c-86b1-fe8d9875e63f</t>
  </si>
  <si>
    <t>Glasfiberdug</t>
  </si>
  <si>
    <t>24e7b768-b5b9-5204-8193-64101d7be1d3</t>
  </si>
  <si>
    <t>Glastag, aluminium (komplet vindue)</t>
  </si>
  <si>
    <t>f794010b-144a-5d09-9cd5-c40c666b348e</t>
  </si>
  <si>
    <t>Grunder til silikonespuds</t>
  </si>
  <si>
    <t>883c1a29-7414-5f44-853e-ed0238c4a5ff</t>
  </si>
  <si>
    <t>Grunder, silikat dispersion</t>
  </si>
  <si>
    <t>c2d1e0fe-c3db-5a81-9776-d74f87109e95</t>
  </si>
  <si>
    <t>Grus 16/32 (tørret)</t>
  </si>
  <si>
    <t>26f64a66-2a3d-56a1-afde-3c968c0888b5</t>
  </si>
  <si>
    <t>Grus 2-32 mm</t>
  </si>
  <si>
    <t>8c46ae35-cf40-599c-9282-9615242f6fc0</t>
  </si>
  <si>
    <t>Grus 2-32 mm, tørret</t>
  </si>
  <si>
    <t>1cf0bed4-b3d8-537b-8656-e5d1fecc0544</t>
  </si>
  <si>
    <t>Grus, 2-15 mm, tørret</t>
  </si>
  <si>
    <t>30dc885f-9070-5b40-a4d7-efbaeed9e024</t>
  </si>
  <si>
    <t>Grå støbejern</t>
  </si>
  <si>
    <t>3d8cc01e-560b-5539-aa75-676489462161</t>
  </si>
  <si>
    <t>Gulvvarme PP (100 mm)</t>
  </si>
  <si>
    <t>e5265018-9852-5942-ac58-6c35ba0b67b9</t>
  </si>
  <si>
    <t>Gulvvarme, PEX (200 mm afstand)</t>
  </si>
  <si>
    <t>16553ee7-3c92-53b5-a44d-b624fada110e</t>
  </si>
  <si>
    <t>Gulvvarme, PP (200 mm afstand)</t>
  </si>
  <si>
    <t>4972470a-8f44-5c9f-b18a-70018cdc1c8b</t>
  </si>
  <si>
    <t>Gulvvarme, kobber (100 mm afstand)</t>
  </si>
  <si>
    <t>c9105cf8-dd7e-5574-8fd9-62ac1970953c</t>
  </si>
  <si>
    <t>Gulvvarme, kobber (200 mm afstand)</t>
  </si>
  <si>
    <t>2ba55bb2-dca3-5252-800f-35235bdb9f8b</t>
  </si>
  <si>
    <t>Gulvvarme, rørsystem, PEX, 100 mm afstand</t>
  </si>
  <si>
    <t>e58f3e85-0f80-512a-ad6a-b85d48367902</t>
  </si>
  <si>
    <t>Gummigulve med skumbagside EN 1816</t>
  </si>
  <si>
    <t>1f2840fe-8c6e-506f-a77f-635ce798df6a</t>
  </si>
  <si>
    <t>Gummigulve profileret EN 12199</t>
  </si>
  <si>
    <t>f13c5b6c-953d-5960-aec7-edfb4a84fa9d</t>
  </si>
  <si>
    <t>Gummitætning</t>
  </si>
  <si>
    <t>0dec7883-8ef2-5f24-a499-aa79051f7a79</t>
  </si>
  <si>
    <t>HPL- plade</t>
  </si>
  <si>
    <t>e714ed2e-3f08-50fe-af53-45ca0d6d0b87</t>
  </si>
  <si>
    <t>Halm (FASBA e.V)</t>
  </si>
  <si>
    <t>989a5f04-fd8e-5e3e-9a45-44ab717b7c80</t>
  </si>
  <si>
    <t>Hampfiberdug</t>
  </si>
  <si>
    <t>86786ae9-19dc-5c08-a0d6-cc1e71a9cbf4</t>
  </si>
  <si>
    <t>Hærdeplastgulv (PU, epoxy)</t>
  </si>
  <si>
    <t>94a52d61-411b-5bfb-a154-50bb6837335b</t>
  </si>
  <si>
    <t>Hørfiberdug</t>
  </si>
  <si>
    <t>c935c02d-6c76-53d9-be5c-11faf291f1b5</t>
  </si>
  <si>
    <t>Kabelbakke, hård PVC</t>
  </si>
  <si>
    <t>7fb8761c-a6c6-5a67-93aa-c67c2b5f285c</t>
  </si>
  <si>
    <t>Kalciumsilikatplade</t>
  </si>
  <si>
    <t>c59da102-e025-57cf-bf6c-9e18e2fc65ec</t>
  </si>
  <si>
    <t>Kalciumsulfat</t>
  </si>
  <si>
    <t>dadeb077-15dd-500b-92bc-3b9234bdf098</t>
  </si>
  <si>
    <t>Kalk, malet</t>
  </si>
  <si>
    <t>8a038f5e-0aef-5f49-a79f-3ea147c91718</t>
  </si>
  <si>
    <t>Kalkcementmørtel</t>
  </si>
  <si>
    <t>198b40b0-af2f-53e9-990b-08fa862e069b</t>
  </si>
  <si>
    <t>Kalkcementpuds</t>
  </si>
  <si>
    <t>9a03a415-4dba-5d22-8f20-640c4837c9d3</t>
  </si>
  <si>
    <t>Kalkpuds</t>
  </si>
  <si>
    <t>b023edd9-074f-5e9d-a870-c67b82d03c3e</t>
  </si>
  <si>
    <t>Kalkpuds, tørstof</t>
  </si>
  <si>
    <t>5fb821fa-d4d2-5cc1-8ea8-8c158e2c9b81</t>
  </si>
  <si>
    <t>af6c5484-67d6-5b7c-bd1b-516a0824261f</t>
  </si>
  <si>
    <t>Keramikfliser, glaseret</t>
  </si>
  <si>
    <t>25cf5586-4d7e-56f6-ad37-11cbd7df1f06</t>
  </si>
  <si>
    <t>Klordifluormethan (R22)</t>
  </si>
  <si>
    <t>ac7c107e-9855-5735-9518-b8de44f9da58</t>
  </si>
  <si>
    <t>Kompakt lysstofrør 18W (ballast eksternt)</t>
  </si>
  <si>
    <t>12a6d838-a69f-5399-ac19-90ea4ae7c3d5</t>
  </si>
  <si>
    <t>Kondenserende gaskedel 120-400 kW (standalone enhed)</t>
  </si>
  <si>
    <t>ab788b4f-890b-56e0-9f61-eac38e796adf</t>
  </si>
  <si>
    <t>Kondenserende gaskedel 20-120 kW (standalone enhed)</t>
  </si>
  <si>
    <t>951fe0b1-c251-5af0-bc0d-a8b9a9792e1f</t>
  </si>
  <si>
    <t>Kondenserende gaskedel &lt;20 kW (standalone enhed)</t>
  </si>
  <si>
    <t>02a89881-dd6c-56e7-877b-8f02a8a5b1de</t>
  </si>
  <si>
    <t>Kondenserende gaskedel &lt;20 kW (væg enhed)</t>
  </si>
  <si>
    <t>2c23dbce-99ad-541f-8328-98492e74475c</t>
  </si>
  <si>
    <t>Konstruktionstræ, KVH-kvalitet (15% fugt / 13% H2O)</t>
  </si>
  <si>
    <t>742994ab-669c-532d-95c3-935174e5b867</t>
  </si>
  <si>
    <t>Kork linoleumsgulv (tykkelse 0,0025 m)</t>
  </si>
  <si>
    <t>c6cbc5a8-1d64-5fc8-bfe0-bacc507a68ba</t>
  </si>
  <si>
    <t>Kork, expanderet</t>
  </si>
  <si>
    <t>80010bba-6905-5d2e-bd28-df1afa28c367</t>
  </si>
  <si>
    <t>Korkfliser 4 mm</t>
  </si>
  <si>
    <t>b1c3c51b-84c8-5166-9b4b-fac790aa1ab6</t>
  </si>
  <si>
    <t>Korkfliser 6 mm</t>
  </si>
  <si>
    <t>6894bbe0-b320-5356-ab7f-2185f3af3139</t>
  </si>
  <si>
    <t>Korkfliser 8 mm</t>
  </si>
  <si>
    <t>4dcd9aa5-691e-51b5-b2f0-b241351cba9f</t>
  </si>
  <si>
    <t>Krydsfinérplade</t>
  </si>
  <si>
    <t>94d28b85-7e2e-5717-aec8-fd6eb4361401</t>
  </si>
  <si>
    <t>Krydslamineret træ, CLT</t>
  </si>
  <si>
    <t>1f790242-bd2c-5ea2-bcd5-d0a0adbcc14e</t>
  </si>
  <si>
    <t>Krydslimet plade, 3 lag</t>
  </si>
  <si>
    <t>19aad070-e011-5f67-bd1a-ab2a4c66bd92</t>
  </si>
  <si>
    <t>Krydslimet plade, 3- og 5-lag</t>
  </si>
  <si>
    <t>3b506d5d-9593-5299-acdc-f5fe08d882a9</t>
  </si>
  <si>
    <t>Krydslimet plade, 5 lag</t>
  </si>
  <si>
    <t>7550b95d-1de2-5202-8eb8-3cd5b37bc00f</t>
  </si>
  <si>
    <t>Kuldioxid (R744)</t>
  </si>
  <si>
    <t>d27d7100-0188-5b96-8771-61dc229a9471</t>
  </si>
  <si>
    <t>Kunststenplade (bundet af epoxyharpiks)</t>
  </si>
  <si>
    <t>dd365182-6a26-5fb8-a848-275b2cb7c47f</t>
  </si>
  <si>
    <t>Kølemiddel (R404a)</t>
  </si>
  <si>
    <t>c3f4f949-f7dc-5725-abf5-16d6b473e3e1</t>
  </si>
  <si>
    <t>Kølemiddel (R407c)</t>
  </si>
  <si>
    <t>f59356e4-cc14-52e4-9ab2-2afe1daf1242</t>
  </si>
  <si>
    <t>Kølemiddel (R410a)</t>
  </si>
  <si>
    <t>681d899b-9d38-5b55-9b62-28a95f804cfa</t>
  </si>
  <si>
    <t>LED kontorbelysning</t>
  </si>
  <si>
    <t>cc7fb8bb-01d7-531a-8c63-1a9c3d471c85</t>
  </si>
  <si>
    <t>LPG tank 2700 l / 1,2 t (underjordisk)</t>
  </si>
  <si>
    <t>e909d617-9652-5655-971e-b9194a5522a0</t>
  </si>
  <si>
    <t>LPG tank 2700 l / t 1,2 (overjordiske)</t>
  </si>
  <si>
    <t>7ba2a15e-60dc-561a-9b0f-e0397ec1f9fd</t>
  </si>
  <si>
    <t>LPG tank 4850 l / 2,1 t (underjordisk)</t>
  </si>
  <si>
    <t>7ca91977-e134-5290-8fbd-9d48aac34815</t>
  </si>
  <si>
    <t>LPG tank 4850 l / 2,1t (overjordiske)</t>
  </si>
  <si>
    <t>45d35075-9cdf-54cd-bb65-8730af02165c</t>
  </si>
  <si>
    <t>LPG tank 6400 l / 2,9 t (underjordisk)</t>
  </si>
  <si>
    <t>37b4c55a-2f19-5320-bfc8-03bcdfd18f90</t>
  </si>
  <si>
    <t>LPG tank 6400 l / t 2,9 (overjordiske)</t>
  </si>
  <si>
    <t>29557cec-1dd8-5f07-a0df-43f07486ded5</t>
  </si>
  <si>
    <t>LVL</t>
  </si>
  <si>
    <t>5e9cb921-b1a4-5955-9b7d-6a3a05835201</t>
  </si>
  <si>
    <t>Laminatgulv 8 mm</t>
  </si>
  <si>
    <t>1cedae58-1896-5674-9f2f-bdf17e66116c</t>
  </si>
  <si>
    <t>Lavagrus</t>
  </si>
  <si>
    <t>c00e5b54-f603-5dc9-aee2-936640be7bb0</t>
  </si>
  <si>
    <t>Lecanødder</t>
  </si>
  <si>
    <t>08906bec-2316-5066-998c-7c4754e34268</t>
  </si>
  <si>
    <t>Ler pulver</t>
  </si>
  <si>
    <t>646237ae-a61f-58ce-ac32-3e935fa5a3ad</t>
  </si>
  <si>
    <t>Ler, stampet ler</t>
  </si>
  <si>
    <t>b2d4d634-f46b-5d76-8ce2-85503230b90c</t>
  </si>
  <si>
    <t>Lerplade (tykkelse 0,02 m)</t>
  </si>
  <si>
    <t>1b5f8a87-2c4d-5606-8d1d-28f2ab8ee24e</t>
  </si>
  <si>
    <t>Lerpuds</t>
  </si>
  <si>
    <t>9865dc97-288f-5a10-8a01-d770448e1826</t>
  </si>
  <si>
    <t>Lerrør, glaseret, DN 250</t>
  </si>
  <si>
    <t>7a7f66af-2990-5648-8179-9439453ffa7b</t>
  </si>
  <si>
    <t>Lersten</t>
  </si>
  <si>
    <t>bcc7cf9a-8a1e-568a-a5de-d07bd3d5fdf5</t>
  </si>
  <si>
    <t>Letbetonblok af 100% naturlig pimpsten</t>
  </si>
  <si>
    <t>41cae37b-9867-5c22-b133-e9f3df0510f1</t>
  </si>
  <si>
    <t>Letklinkerbeton, hulblokke 1601 kg/m3</t>
  </si>
  <si>
    <t>913dbdf5-3ec8-5800-ad74-d0cb81fa0ba4</t>
  </si>
  <si>
    <t>Letklinkerbetonblok, indervæg</t>
  </si>
  <si>
    <t>20586f77-69f8-569d-9335-3d24885cca19</t>
  </si>
  <si>
    <t>Letklinkerbetonblok, ydervæg</t>
  </si>
  <si>
    <t>e3dccab5-e00f-58ed-880c-59efc58e641c</t>
  </si>
  <si>
    <t>Lim til gipsplader</t>
  </si>
  <si>
    <t>fea86718-7dfa-542b-91ab-f371c5d7b4e0</t>
  </si>
  <si>
    <t>Limtræ, nåletræ</t>
  </si>
  <si>
    <t>7217b95a-1294-5bb7-997d-61f863b14508</t>
  </si>
  <si>
    <t>Limtræ, stående brædder, nåletræ</t>
  </si>
  <si>
    <t>2b72993d-9f7c-5d9d-8686-4cd991dcfda8</t>
  </si>
  <si>
    <t>Linoleum gulvbelægning (tykkelse 0,0025 m)</t>
  </si>
  <si>
    <t>08add22b-8f81-5a8c-8855-42abfd575195</t>
  </si>
  <si>
    <t>Lithium jernfosfat (LiFePO4) batteri (1 kWh lagring)</t>
  </si>
  <si>
    <t>6bd374c9-2d6b-50f3-a6ac-aabe0d480c3b</t>
  </si>
  <si>
    <t>3ad80773-78c8-50e2-9d2c-b97ce3be91b0</t>
  </si>
  <si>
    <t>Loftspanel, Mineraluld</t>
  </si>
  <si>
    <t>fb3b35d1-04aa-5e4c-985b-a07783c2372a</t>
  </si>
  <si>
    <t>Lysstofrør T5-14W</t>
  </si>
  <si>
    <t>b261844f-afc4-5f2d-820d-e9f6718de830</t>
  </si>
  <si>
    <t>Lysstofrør T5-28W</t>
  </si>
  <si>
    <t>47ef4e7c-8a72-5199-afcb-51ba210a49dd</t>
  </si>
  <si>
    <t>Lysstofrør T8-18W</t>
  </si>
  <si>
    <t>24aa8c46-5947-5a5c-814c-9f21048388f8</t>
  </si>
  <si>
    <t>Lysstofrør T8-36W</t>
  </si>
  <si>
    <t>6d9b7e94-f44b-5642-9199-282e4327369c</t>
  </si>
  <si>
    <t>Lysstofrør fatning T8-18W (LFL)</t>
  </si>
  <si>
    <t>1f4c7b3c-5ffa-596f-b5ab-ab6f6576394d</t>
  </si>
  <si>
    <t>Lysstofrør fatning T8-36W (LFL)</t>
  </si>
  <si>
    <t>d0dab162-b059-55fb-a3b7-fe0bcea0feab</t>
  </si>
  <si>
    <t>Læsket kalk, pulver</t>
  </si>
  <si>
    <t>20b2cec2-4767-525c-93e1-54ce5944e08f</t>
  </si>
  <si>
    <t>Marmorplade (tykkelse 0,02 m)</t>
  </si>
  <si>
    <t>ab5b16ef-f24c-5287-8208-f77b0c9b5326</t>
  </si>
  <si>
    <t>Melamin-skum</t>
  </si>
  <si>
    <t>aeccc9fa-fbf4-59ff-af60-1557d08575a2</t>
  </si>
  <si>
    <t>Messing</t>
  </si>
  <si>
    <t>543e900e-c9ed-5d66-80b2-814b3d0c7c1f</t>
  </si>
  <si>
    <t>Mineraluld, alm.</t>
  </si>
  <si>
    <t>d46da4f1-8ceb-5c1e-9368-958bf9ad844f</t>
  </si>
  <si>
    <t>Mineraluld, facadesystem</t>
  </si>
  <si>
    <t>631c85cb-a717-5dfe-b615-80c77064b514</t>
  </si>
  <si>
    <t>Mineraluld, løsfyld</t>
  </si>
  <si>
    <t>e01a23c2-da7a-50e0-ae3c-3ce13abfe66c</t>
  </si>
  <si>
    <t>Mineraluld, skråtag</t>
  </si>
  <si>
    <t>c18601b9-96d5-5986-b345-088ae653aacc</t>
  </si>
  <si>
    <t>Mineraluld, stenuld, rørskål</t>
  </si>
  <si>
    <t>5a6ed6dd-285a-5992-b9e2-ee967daa81b1</t>
  </si>
  <si>
    <t>Mineraluld, stenuld, teknisk pladeisolering</t>
  </si>
  <si>
    <t>d735bf4f-1dcf-5866-8e7c-8382897a891f</t>
  </si>
  <si>
    <t>Mineraluld, terræn</t>
  </si>
  <si>
    <t>1cea881f-0400-52b4-a3d1-18bd43e991cf</t>
  </si>
  <si>
    <t>Mineraluld, trykfast til tagsystem</t>
  </si>
  <si>
    <t>c878f4b6-3686-552f-a995-3b269f92368d</t>
  </si>
  <si>
    <t>Mørtel, armeringsmørtel, kunstharpiks spartelmasse</t>
  </si>
  <si>
    <t>4ab5503b-45f0-54e8-b32d-e4e7a259be20</t>
  </si>
  <si>
    <t>Mørtel, cementmørtel</t>
  </si>
  <si>
    <t>abb5ef30-cd82-5385-be74-28e81b729e90</t>
  </si>
  <si>
    <t>Mørtel, fliseklæber</t>
  </si>
  <si>
    <t>35e71379-ee8b-569b-a2c0-2f8596c0631b</t>
  </si>
  <si>
    <t>Naturstenplade, blød, facade</t>
  </si>
  <si>
    <t>8cc9ef5a-4e6b-50fa-b1e1-3754126c3c22</t>
  </si>
  <si>
    <t>Naturstenplade, blød, gulv</t>
  </si>
  <si>
    <t>80023c6d-3032-53c2-a004-f4552e8d491a</t>
  </si>
  <si>
    <t>Naturstenplade, hård, facade</t>
  </si>
  <si>
    <t>66a24e62-c29f-57c8-9cc9-ca450de506d4</t>
  </si>
  <si>
    <t>Naturstenplade, hård, gulv</t>
  </si>
  <si>
    <t>434be529-6838-51e5-ae3f-bd3cd0b288ca</t>
  </si>
  <si>
    <t>Naturstensplade, udendørsbrug</t>
  </si>
  <si>
    <t>5d63ef48-7804-59b7-8089-bf76b122c7ab</t>
  </si>
  <si>
    <t>Net-forstærket dampspærre PET</t>
  </si>
  <si>
    <t>c1bf5ad9-1dff-5f44-9237-886b9566221e</t>
  </si>
  <si>
    <t>Nylonstøbning (PA 6.6)</t>
  </si>
  <si>
    <t>424c1833-05c0-5d17-8202-7619ede9a9bd</t>
  </si>
  <si>
    <t>OSB-plade</t>
  </si>
  <si>
    <t>58c088b7-0a08-5c26-9022-e1d2d84cd31d</t>
  </si>
  <si>
    <t>Oliekedel, kondenserende, 120-400 kW</t>
  </si>
  <si>
    <t>5187944e-2422-555f-90ab-5350fa6b9f4e</t>
  </si>
  <si>
    <t>Oliekedel, kondenserende, 20-120 kW</t>
  </si>
  <si>
    <t>c36b05b9-7864-5be4-80ac-079f7dc9c533</t>
  </si>
  <si>
    <t>Oliekedel, kondenserende, &lt; 20 kW</t>
  </si>
  <si>
    <t>2eea15a8-0378-5e87-9364-3277171555db</t>
  </si>
  <si>
    <t>Ovenlyskuppel, plast (komplet ovenlys)</t>
  </si>
  <si>
    <t>7e7523e5-c203-5c94-8920-417f4ef50491</t>
  </si>
  <si>
    <t>Overflade, Anodisering af aluminiumplade</t>
  </si>
  <si>
    <t>97cd1652-ab3d-532f-b08b-26a0d9e4c2d7</t>
  </si>
  <si>
    <t>Overflade, Facademaling,  silikat</t>
  </si>
  <si>
    <t>92c743e4-6861-58b3-85db-53bed79d78db</t>
  </si>
  <si>
    <t>Overflade, Facademaling, akryl maling</t>
  </si>
  <si>
    <t>91b029e2-8286-52f7-a895-e607be6d1769</t>
  </si>
  <si>
    <t>Overflade, Facademaling, grunder, dispersion</t>
  </si>
  <si>
    <t>c55132d9-697e-5b62-a687-d8dffa6a9c31</t>
  </si>
  <si>
    <t>Overflade, Facademaling, grunder, silikat</t>
  </si>
  <si>
    <t>4a8e2389-b022-50b0-b860-3166f788659f</t>
  </si>
  <si>
    <t>Overflade, Facademaling, silikoneharpiks</t>
  </si>
  <si>
    <t>81b6557b-2afd-5054-b748-79fad2c141f1</t>
  </si>
  <si>
    <t>Overflade, Indendørsmaling, emulsions maling, slidstærk</t>
  </si>
  <si>
    <t>feeb3b0a-b190-5285-a8d1-153d24e22974</t>
  </si>
  <si>
    <t>Overflade, Kalkmaling</t>
  </si>
  <si>
    <t>e0bf2e1a-148c-5d14-a96a-597aefe3fc06</t>
  </si>
  <si>
    <t>Overflade, Metal maling (opløsningsmiddelbaseret)</t>
  </si>
  <si>
    <t>0a758688-df9d-514a-a123-3a393d25dd08</t>
  </si>
  <si>
    <t>Overflade, Metalcoating (vandbaseret)</t>
  </si>
  <si>
    <t>86914102-0676-50c4-a5cd-6ca6e9dbcb94</t>
  </si>
  <si>
    <t>Overflade, Opløsningsmiddelbaseret lak, hvid</t>
  </si>
  <si>
    <t>dc2647d6-b69a-5af8-808f-9cf820125c1f</t>
  </si>
  <si>
    <t>Overflade, Parket lak (primer til træ; fortyndet med vand)</t>
  </si>
  <si>
    <t>ee75909d-215c-5a26-8597-a9c318d460f6</t>
  </si>
  <si>
    <t>Overflade, Parket lak transparent</t>
  </si>
  <si>
    <t>c986fd4a-966f-5b6b-b2d7-9e2c9f0bfc74</t>
  </si>
  <si>
    <t>Overflade, Pulver coating af metal</t>
  </si>
  <si>
    <t>3ee01594-86b9-5f66-9766-9101aafb155b</t>
  </si>
  <si>
    <t>Overflade, Pulverlakering (Industri, udendørs, hvid)</t>
  </si>
  <si>
    <t>a6baaece-5a56-5fcc-a1d2-5d272f544d16</t>
  </si>
  <si>
    <t>Overflade, Træmaling, udendørs, dækkende (topcoat-system)</t>
  </si>
  <si>
    <t>20fb4b6d-2ff1-5c7b-b7e4-83091904e9aa</t>
  </si>
  <si>
    <t>Overflade, Vandbaseret lak, hvid</t>
  </si>
  <si>
    <t>bdf3fca1-4305-5ece-addb-9b3037863c02</t>
  </si>
  <si>
    <t>Overflade, Vinduesmaling, hvid</t>
  </si>
  <si>
    <t>376efc98-123a-501e-9f0e-b949bcbfe106</t>
  </si>
  <si>
    <t>Overflade, Vinduesmaling, mellemlag dækkende hvid</t>
  </si>
  <si>
    <t>4b4594f7-86b9-5dfa-be9b-cf1bca614d9e</t>
  </si>
  <si>
    <t>Overflade, træfacade, semi-pigmenteret lasursystem</t>
  </si>
  <si>
    <t>57c39f05-f514-5456-8a1d-f2e572bcba72</t>
  </si>
  <si>
    <t>Overflade, trævinduer, hvid grunder</t>
  </si>
  <si>
    <t>b7811c8f-7f85-5d98-a127-1c2c8b2c7272</t>
  </si>
  <si>
    <t>PIR-skum, høj densitet (250 kg/m3)</t>
  </si>
  <si>
    <t>bae9226f-4485-5cff-90cf-8940a046b862</t>
  </si>
  <si>
    <t>PU skumisolering, belagt med aluminium på begge sider (12 cm)</t>
  </si>
  <si>
    <t>5d1cd029-7f7f-5b89-9f3a-02fa0e284101</t>
  </si>
  <si>
    <t>PU skumplade (12cm)</t>
  </si>
  <si>
    <t>789ac687-6ef7-566a-aa7c-f1d73648ea8e</t>
  </si>
  <si>
    <t>PUR fugemasse</t>
  </si>
  <si>
    <t>f6849492-bcc4-5612-91ae-d9301d256ca2</t>
  </si>
  <si>
    <t>PUR-underlag på PET-flis (tykkelse 0,0005 m)</t>
  </si>
  <si>
    <t>51aa1fca-4bcd-5192-8c67-ac6ef9fc376c</t>
  </si>
  <si>
    <t>PVC gulvbelægning</t>
  </si>
  <si>
    <t>4dcaf13b-44a4-540a-bfa8-996290a64f26</t>
  </si>
  <si>
    <t>PVC plastisol</t>
  </si>
  <si>
    <t>a7d3b51c-09bf-556d-b9b4-e84598d74e29</t>
  </si>
  <si>
    <t>Papiruldsisolering, løsfyld</t>
  </si>
  <si>
    <t>3c51bacb-27b4-54ae-8a9f-1cd8ff670b34</t>
  </si>
  <si>
    <t>Papiruldsplader</t>
  </si>
  <si>
    <t>f83b9fdd-ec72-5882-9bcc-b766cf9914d6</t>
  </si>
  <si>
    <t>Parket i massivt træ</t>
  </si>
  <si>
    <t>3f30377c-a1c1-5c39-9d62-bd31195cd034</t>
  </si>
  <si>
    <t>Parket, flerlag (tykkelse 0,01 m)</t>
  </si>
  <si>
    <t>e0115a84-0aa1-5de0-8c64-4a9ed0c9c2cb</t>
  </si>
  <si>
    <t>Pellet-kedel, &lt;20 kW</t>
  </si>
  <si>
    <t>6b418a2f-f897-5794-a6d0-40b827e0fcb4</t>
  </si>
  <si>
    <t>Perlite 0-1 mm</t>
  </si>
  <si>
    <t>8fb7c9dc-dbf7-5f56-bd6e-869783a65b4b</t>
  </si>
  <si>
    <t>Perlite 0-3 mm</t>
  </si>
  <si>
    <t>65ef3859-ef4c-560a-bf43-625fd365305b</t>
  </si>
  <si>
    <t>Phenolplast, stift skum (PF)</t>
  </si>
  <si>
    <t>941e94ce-e945-5499-8a47-588f4969d3e9</t>
  </si>
  <si>
    <t>Pillefyr, 20-120 kW</t>
  </si>
  <si>
    <t>245ed544-564a-550f-af0d-0d150ac8cace</t>
  </si>
  <si>
    <t>Pimpsten (SFK-4)</t>
  </si>
  <si>
    <t>8db9f188-2b6d-52b9-b1ac-42e4500c264e</t>
  </si>
  <si>
    <t>Pimpsten 0-4 mm</t>
  </si>
  <si>
    <t>a3bb4942-84ba-5fe7-8e93-02a79f70c293</t>
  </si>
  <si>
    <t>Pimpsten, grus</t>
  </si>
  <si>
    <t>9432b03a-d56d-5317-9246-613dab728b5e</t>
  </si>
  <si>
    <t>Plast profil CR (chloropren gummi)</t>
  </si>
  <si>
    <t>03672b65-e3ff-54ce-afff-55a6c46f9c0c</t>
  </si>
  <si>
    <t>Plast profil SBR</t>
  </si>
  <si>
    <t>cd51e6e2-d95c-5212-a8ae-0ff2c6e65a79</t>
  </si>
  <si>
    <t>Plastplade, transparent, PC</t>
  </si>
  <si>
    <t>8f12a3c9-63b2-58ff-ada2-b2614ade546d</t>
  </si>
  <si>
    <t>Plastplade, transparent, PMMA ekstruderet</t>
  </si>
  <si>
    <t>f5109d46-f48d-56d6-bbca-f682b7a33e3e</t>
  </si>
  <si>
    <t>Plastplade, transparent, PMMA støbte</t>
  </si>
  <si>
    <t>0cf4636c-9f15-5351-bb10-28b3a9e74052</t>
  </si>
  <si>
    <t>Plastplade, transparent, PVC</t>
  </si>
  <si>
    <t>91906118-a928-5bda-9ed6-2115dbda7449</t>
  </si>
  <si>
    <t>Plastprofil, silikone</t>
  </si>
  <si>
    <t>0355538a-bf9f-52ac-8988-28a8b15d0139</t>
  </si>
  <si>
    <t>Polybutadiene rør (PB)</t>
  </si>
  <si>
    <t>d8d28e66-1a1e-51b8-8074-21eeef5a32dc</t>
  </si>
  <si>
    <t>Polycarbonatplade</t>
  </si>
  <si>
    <t>11700a1f-0c70-57ea-b1b8-73fcd0e5d3d7</t>
  </si>
  <si>
    <t>Polyethylen-skum</t>
  </si>
  <si>
    <t>8926552b-c77d-5069-9a28-25e2f39fae06</t>
  </si>
  <si>
    <t>Polystyren granulat (cementbundet)</t>
  </si>
  <si>
    <t>2d9106c0-e4e3-5dad-a864-3ac9afc654b4</t>
  </si>
  <si>
    <t>Polystyren skumfyldning (uden bindemiddel)</t>
  </si>
  <si>
    <t>ca6d1c80-881e-533a-b93d-4a0714d72227</t>
  </si>
  <si>
    <t>Polyurethanskum (rørisolering)</t>
  </si>
  <si>
    <t>b16c0c20-5870-5094-af5f-5fda20c3f063</t>
  </si>
  <si>
    <t>Porebeton 380 kg/m³</t>
  </si>
  <si>
    <t>d68a5087-39c5-5be5-89f0-4e9fff95dc8c</t>
  </si>
  <si>
    <t>Porebeton 472 kg/m³</t>
  </si>
  <si>
    <t>3715785d-e3bf-5d48-80e6-00324fadfc89</t>
  </si>
  <si>
    <t>Porebeton 474 kg/m³, armeret</t>
  </si>
  <si>
    <t>ea5e04b7-158f-56bf-9109-e0c814a287b1</t>
  </si>
  <si>
    <t>Porebeton granulat</t>
  </si>
  <si>
    <t>cd0fa83c-b0c0-5a93-bff8-95b8d22ebd10</t>
  </si>
  <si>
    <t>Propan (R290)</t>
  </si>
  <si>
    <t>758056c9-93af-5869-a423-b5a19d8b0346</t>
  </si>
  <si>
    <t>Puds, gips</t>
  </si>
  <si>
    <t>49e6e40b-3e2b-5f1c-9251-86606059175a</t>
  </si>
  <si>
    <t>Puds, gips-kalk</t>
  </si>
  <si>
    <t>f0329a70-2610-5b34-a5b7-6082cd85fc74</t>
  </si>
  <si>
    <t>Puds, kalk-gips, inde</t>
  </si>
  <si>
    <t>c496d531-3138-505a-b701-65081993a830</t>
  </si>
  <si>
    <t>Puds, syntetisk harpiks</t>
  </si>
  <si>
    <t>81b5b1b6-296b-5b5e-a55f-07ed9efea47f</t>
  </si>
  <si>
    <t>Radiator, stålplade</t>
  </si>
  <si>
    <t>f9bae892-ab98-50ed-b841-d8d21ac45d80</t>
  </si>
  <si>
    <t>Regnvandsrør, støbejern</t>
  </si>
  <si>
    <t>59b152ed-5c70-5874-b504-a809964ec12f</t>
  </si>
  <si>
    <t>Rulletrappe (grundkomponenter pr. trappe)</t>
  </si>
  <si>
    <t>ebc41d1f-8644-537c-b44f-82efd38285cf</t>
  </si>
  <si>
    <t>Rulletrappe (komponenter, som er afhængige af højden)</t>
  </si>
  <si>
    <t>58547c87-1434-5b92-9598-374327299060</t>
  </si>
  <si>
    <t>Rytterlys, plast/aluminium (komplet vindue)</t>
  </si>
  <si>
    <t>e30bf001-2f98-546a-8648-b69dd555d9e5</t>
  </si>
  <si>
    <t>Rødgods</t>
  </si>
  <si>
    <t>636f43ae-c48e-51ce-a797-e1526f256725</t>
  </si>
  <si>
    <t>Rør til el-varmepumpe (lodret jordvarme, saltvand) 10 kW</t>
  </si>
  <si>
    <t>2f477250-374e-5154-a7dd-4efb618c1544</t>
  </si>
  <si>
    <t>930ee49a-4b67-5aa1-931a-632253ad3358</t>
  </si>
  <si>
    <t>266a03be-816b-5b06-a8d3-1fba9ceb6a38</t>
  </si>
  <si>
    <t>Rør til el-varmepumpe (lodret jordvarme, saltvand) 20 kW</t>
  </si>
  <si>
    <t>e565bc1c-74c6-5e1a-be61-d904f89a598d</t>
  </si>
  <si>
    <t>a7cfcd1b-5c79-5ebb-9950-0aff0dfe0638</t>
  </si>
  <si>
    <t>Rør til el-varmepumpe (lodret jordvarme, saltvand) 70 kW</t>
  </si>
  <si>
    <t>8b38b9b0-da2a-52c9-a384-1fe42e2438f6</t>
  </si>
  <si>
    <t>Rør til el-varmepumpe (vand-vand) 10 kW</t>
  </si>
  <si>
    <t>485b1080-024f-527a-869f-8f8c5ce6227d</t>
  </si>
  <si>
    <t>Rør til el-varmepumpe (vand-vand) 20 kW</t>
  </si>
  <si>
    <t>bb44e13d-889d-5a29-a6ca-71545c5bc788</t>
  </si>
  <si>
    <t>Rør til el-varmepumpe (vand-vand) 70 kW</t>
  </si>
  <si>
    <t>05bc582f-6730-5bfd-8ee5-76daa1fdc645</t>
  </si>
  <si>
    <t>Rør, Afløbsrør, ABS</t>
  </si>
  <si>
    <t>67833929-5030-56fb-99c9-343f86df0ef3</t>
  </si>
  <si>
    <t>Rør, Afløbsrør, PVC</t>
  </si>
  <si>
    <t>d1427bbd-e2a8-5e53-ba85-16ac2458afef</t>
  </si>
  <si>
    <t>Rør, Brugsvandsrør, PEX</t>
  </si>
  <si>
    <t>146496e2-e160-5bae-9b31-b2801613ac93</t>
  </si>
  <si>
    <t>Rør, Kloakrør HDPE</t>
  </si>
  <si>
    <t>3e013262-d58a-50dc-a6d7-6c08791c2a0f</t>
  </si>
  <si>
    <t>Rør, Kloakrør PP</t>
  </si>
  <si>
    <t>1849b424-c333-505c-a287-32f8b29b9349</t>
  </si>
  <si>
    <t>Rør, Kloakrør PVC</t>
  </si>
  <si>
    <t>a87d5ce7-5557-5953-9b9a-addfee0c233d</t>
  </si>
  <si>
    <t>Rør, Regnvandsrør, PVC</t>
  </si>
  <si>
    <t>a58cf4e2-563c-5fe6-8cf4-4dd856e571ce</t>
  </si>
  <si>
    <t>Rør, glaseret stentøj, DN 400</t>
  </si>
  <si>
    <t>bf71e7c0-5e14-5a7a-bb42-adcf9cd10ec1</t>
  </si>
  <si>
    <t>Rør, polypropylen (PP)</t>
  </si>
  <si>
    <t>9279a6dd-6fac-514f-b5cb-42932241e771</t>
  </si>
  <si>
    <t>Sand 0-2 mm</t>
  </si>
  <si>
    <t>ceba2c85-4621-52a1-824e-3237ee5ffec9</t>
  </si>
  <si>
    <t>Sand 0-2 mm, tørret</t>
  </si>
  <si>
    <t>a85fb518-b2ff-5c16-abd1-b18b4296aaf3</t>
  </si>
  <si>
    <t>Sand, knust, tørret</t>
  </si>
  <si>
    <t>23edf810-6e95-50b7-8390-c21baae4f7aa</t>
  </si>
  <si>
    <t>Sanitetskeramik</t>
  </si>
  <si>
    <t>e7055fd5-6c3c-524c-b3e4-e921d45d7781</t>
  </si>
  <si>
    <t>Silikatmaling (indendørs)</t>
  </si>
  <si>
    <t>07790411-2ffc-5273-9c50-92c66f4d18bc</t>
  </si>
  <si>
    <t>Silikatmaling (udendørs)</t>
  </si>
  <si>
    <t>7b42dc68-6359-53e6-bd80-7895cd9d9dc4</t>
  </si>
  <si>
    <t>Singels 2-15 mm</t>
  </si>
  <si>
    <t>aef9da0d-97d4-53ab-ac8e-e39669722ca3</t>
  </si>
  <si>
    <t>Skifer</t>
  </si>
  <si>
    <t>59587549-eff9-5cb0-9e3a-f522e5f263c3</t>
  </si>
  <si>
    <t>Skorsten opmuret (1 rør)</t>
  </si>
  <si>
    <t>8f7e4047-4208-5aaf-8ba5-0a61e3665196</t>
  </si>
  <si>
    <t>Skorsten opmuret (2 rør)</t>
  </si>
  <si>
    <t>4adc3d72-58ee-5258-89f8-4b5b89d02f80</t>
  </si>
  <si>
    <t>Skorsten stål (enkelt væg)</t>
  </si>
  <si>
    <t>d8da3823-6ec7-5f88-865b-0a4ded55a30e</t>
  </si>
  <si>
    <t>Skortsten polypropylen (PP)</t>
  </si>
  <si>
    <t>2a1a0764-6379-5c43-a911-88fa672f0800</t>
  </si>
  <si>
    <t>Skærvemastisk asfalt (SMA)</t>
  </si>
  <si>
    <t>bb0ebd6a-6a6a-58ed-a58a-1bbd6154e6b7</t>
  </si>
  <si>
    <t>Skærver 16-32 mm</t>
  </si>
  <si>
    <t>e1bf7c7a-a438-522f-8915-c7f3b3d2706f</t>
  </si>
  <si>
    <t>Slaggebeton, sten</t>
  </si>
  <si>
    <t>f1229fb2-17fc-59a9-b736-08b9e366c8bb</t>
  </si>
  <si>
    <t>Smeltekammergranulat</t>
  </si>
  <si>
    <t>b728ab02-e429-5bb9-9c71-8c670192715c</t>
  </si>
  <si>
    <t>Solafskærmning, aluminiumslameller</t>
  </si>
  <si>
    <t>25f0fdc5-f4a2-5dac-ab23-63cb074b8569</t>
  </si>
  <si>
    <t>Solafskærmning, polyethylenterephthalat (PET)</t>
  </si>
  <si>
    <t>4075c8a0-27a7-56ae-8508-ecaf26ed9e2d</t>
  </si>
  <si>
    <t>Solcelleanlæg 1000 kWh / m2*a</t>
  </si>
  <si>
    <t>f3fdd1d6-f181-5e07-ab3e-1bdaa3037d70</t>
  </si>
  <si>
    <t>Solvarmekollektor, plan</t>
  </si>
  <si>
    <t>4438fb9e-401f-5892-9b18-9bace0624e38</t>
  </si>
  <si>
    <t>Solvarmekollektor, vakuumrør</t>
  </si>
  <si>
    <t>9c3364a4-8c96-5e74-a5cf-8fe6f78d843e</t>
  </si>
  <si>
    <t>Spånplade</t>
  </si>
  <si>
    <t>067d7059-1571-586c-9bf7-a72bbfb48671</t>
  </si>
  <si>
    <t>Spånplade, melaminbelagt</t>
  </si>
  <si>
    <t>fc5e364f-fa8d-5791-b5a4-4ec8e06d6c3f</t>
  </si>
  <si>
    <t>Stenmel 0/2</t>
  </si>
  <si>
    <t>2686fbc4-3a72-5695-8cb9-c4fb9748a317</t>
  </si>
  <si>
    <t>Stikdåse</t>
  </si>
  <si>
    <t>42efd248-bc2a-5b1f-813d-f9116d9bfa3e</t>
  </si>
  <si>
    <t>Stokerfyr  20-120 kW</t>
  </si>
  <si>
    <t>b413d7b4-954f-5fa9-9954-e4d85a940762</t>
  </si>
  <si>
    <t>Stokerfyr  &lt;20 kW</t>
  </si>
  <si>
    <t>5071c1c5-fb3a-5022-8738-a602972e8292</t>
  </si>
  <si>
    <t>Stokerfyr 120-400 kW</t>
  </si>
  <si>
    <t>7eaca679-d20f-56a2-9319-6a4704d6fcb4</t>
  </si>
  <si>
    <t>Stål, Varmgalvaniseret stålplade</t>
  </si>
  <si>
    <t>a1d6118b-5c07-5c09-9249-6046e1e3dfba</t>
  </si>
  <si>
    <t>Stål, feeb3b0a-b190-5285-a8d1-153d24e22974ål</t>
  </si>
  <si>
    <t>dde5611c-97c9-5f7d-9df7-34b83a2a9bc8</t>
  </si>
  <si>
    <t>Stål, valsede profiler og plader</t>
  </si>
  <si>
    <t>047aa8cb-8b9c-5fba-9a7b-811860532756</t>
  </si>
  <si>
    <t>Stål, varmvalset plade, 2-20 mm</t>
  </si>
  <si>
    <t>4690ade0-d9b8-559e-9186-16e53edf14f5</t>
  </si>
  <si>
    <t>Stålplade (0,3-3,0mm)</t>
  </si>
  <si>
    <t>75e75df4-a203-5fb4-941b-1192d76176ae</t>
  </si>
  <si>
    <t>Stålplade (20 mikrometer galvaniseret)</t>
  </si>
  <si>
    <t>72c88b7f-a460-51e1-9890-67d8e630f8ed</t>
  </si>
  <si>
    <t>Stålplade, rustfri</t>
  </si>
  <si>
    <t>bb5671d5-ac01-5088-a210-c3108d3829ad</t>
  </si>
  <si>
    <t>Stålprofil</t>
  </si>
  <si>
    <t>900de71b-a8b2-5b14-ab42-a60da9f557db</t>
  </si>
  <si>
    <t>Stålrør, gevindrør</t>
  </si>
  <si>
    <t>37514f06-258c-5f26-bb3a-196d5253e2be</t>
  </si>
  <si>
    <t>Støbeasfalt</t>
  </si>
  <si>
    <t>a01c114d-ae13-54c0-84cf-6547f197cf15</t>
  </si>
  <si>
    <t>75d5d54f-d4b0-52b3-8940-c2e3164979ba</t>
  </si>
  <si>
    <t>Tagfolie EPDM</t>
  </si>
  <si>
    <t>c8cc3d80-d45d-5912-a454-048a869d74c9</t>
  </si>
  <si>
    <t>Tagmembran, PVC</t>
  </si>
  <si>
    <t>d03bcb48-6d0e-583f-8466-8d997c3b7eaf</t>
  </si>
  <si>
    <t>Tagpap, bitumen toplag, ikke skiferbestrøet</t>
  </si>
  <si>
    <t>291e0143-905e-5424-9d92-5e4f69468588</t>
  </si>
  <si>
    <t>Tagpap, bitumen toplag, skiferbestrøet</t>
  </si>
  <si>
    <t>425f60d6-aa44-5d33-8bb3-362ecc35901c</t>
  </si>
  <si>
    <t>Tagpap, bitumen undermembran</t>
  </si>
  <si>
    <t>ab3cfe40-c63f-50ed-9cfa-a28195caa4be</t>
  </si>
  <si>
    <t>e7b1adaa-aca3-5d43-8e07-a749b80ab460</t>
  </si>
  <si>
    <t>Tagsten, tegl</t>
  </si>
  <si>
    <t>7bb18e30-278f-5109-80e4-f7d244e8694c</t>
  </si>
  <si>
    <t>Teflon-membran, polytetrafluoroethylen (PTFE)</t>
  </si>
  <si>
    <t>d485b462-353f-5081-8261-7f440df03491</t>
  </si>
  <si>
    <t>Teglsten, formur</t>
  </si>
  <si>
    <t>9ef81ae5-cc9c-5355-ab41-4d67bc093e00</t>
  </si>
  <si>
    <t>Teglsten, genbrugte</t>
  </si>
  <si>
    <t>6d26d916-a847-594c-a8b3-6a90e90c08f8</t>
  </si>
  <si>
    <t>Termorude 2x4 mm, Argonfyldt</t>
  </si>
  <si>
    <t>63bf4ff8-6ea1-52d2-b412-1c234be52a90</t>
  </si>
  <si>
    <t>Tetrafluorethan (R134a)</t>
  </si>
  <si>
    <t>f6f9ab7e-ad87-532c-9e82-23b5794eed93</t>
  </si>
  <si>
    <t>Tetrafluorpropen (R1234ze)</t>
  </si>
  <si>
    <t>8edc956d-f8c3-56f4-9e02-9f102389dc77</t>
  </si>
  <si>
    <t>Toilet sæde / låg, hærdetplast</t>
  </si>
  <si>
    <t>8f783842-6934-5d49-81b5-375dc558906c</t>
  </si>
  <si>
    <t>Træ, egetræ (12% fugt / 10,7% H2O)</t>
  </si>
  <si>
    <t>f54036cc-36a6-5270-9831-6f05bacfac1d</t>
  </si>
  <si>
    <t>Træ, fyrretræ (12% fugt / 10,7% H2O)</t>
  </si>
  <si>
    <t>dedfe00f-4dec-5606-8602-4f6ec6e21e65</t>
  </si>
  <si>
    <t>Træ, gran (12% fugt / 10,7% H2O)</t>
  </si>
  <si>
    <t>120b3934-bf21-52fc-9c35-ef76fef5ad22</t>
  </si>
  <si>
    <t>Træ, lærk</t>
  </si>
  <si>
    <t>2353aabb-548c-5a15-aa39-3034a4419e0c</t>
  </si>
  <si>
    <t>0e39b087-118e-53d2-ada9-cc2b30d5c833</t>
  </si>
  <si>
    <t>Træbetonplade</t>
  </si>
  <si>
    <t>f634a1d5-6aef-598d-9e78-eba21ad9e1bd</t>
  </si>
  <si>
    <t>Træbrædder, bøg (12% fugtighed / 10,7% H2O)</t>
  </si>
  <si>
    <t>c6c7a195-d6a5-5d17-942a-aef09a6989c0</t>
  </si>
  <si>
    <t>Træfiberisolering</t>
  </si>
  <si>
    <t>e661d4bc-2375-5ee7-bb6a-fb04b8d64f32</t>
  </si>
  <si>
    <t>Træfiberisoleringsplade (våd proces)</t>
  </si>
  <si>
    <t>abfdc033-7ad1-51ce-9fec-ea098d88f0b4</t>
  </si>
  <si>
    <t>Træfiberplade, høj densitet, HDF</t>
  </si>
  <si>
    <t>8eb2b339-9178-5c83-a12b-bd3b1e44063e</t>
  </si>
  <si>
    <t>Træfiberplade, medium densitet, MDF</t>
  </si>
  <si>
    <t>a4fe2fe1-d71a-5fba-b94d-75ae12031efa</t>
  </si>
  <si>
    <t>Trægulv, stavparket, 22 mm</t>
  </si>
  <si>
    <t>d6324b86-b758-5964-b2c1-0ac97647d7ed</t>
  </si>
  <si>
    <t>Tæppeflise</t>
  </si>
  <si>
    <t>994b043a-acd9-5460-a9bf-ebc158cdaa1c</t>
  </si>
  <si>
    <t>Tætningsliste, EPDB, ekstruderet</t>
  </si>
  <si>
    <t>1e641828-9a11-5998-b775-45aacc180a74</t>
  </si>
  <si>
    <t>1795d646-e6a5-5a39-82c4-550564271166</t>
  </si>
  <si>
    <t>Undertag, fiberarmeret PE-membran</t>
  </si>
  <si>
    <t>4be79c92-8e53-5af1-9c0e-bd6342df5b19</t>
  </si>
  <si>
    <t>Urea formaldehyd skum isolering</t>
  </si>
  <si>
    <t>d05ab99d-1d0c-5e5e-ab48-80cabb6bc76c</t>
  </si>
  <si>
    <t>VVS-rør, PE-belagt kobberrør</t>
  </si>
  <si>
    <t>52f70bcf-e4d4-59bb-b319-65dc3638dc18</t>
  </si>
  <si>
    <t>VVS-rør, PE-skumbelagt kobberrør</t>
  </si>
  <si>
    <t>2ddd044c-2172-5a39-ace7-40ce9b72197d</t>
  </si>
  <si>
    <t>VVS-rør, PU-skumbelagt kobberrør</t>
  </si>
  <si>
    <t>dfe2646c-4c25-5e66-8750-3542ce4f83a1</t>
  </si>
  <si>
    <t>VVS-rør, PVC-belagt kobberrør</t>
  </si>
  <si>
    <t>2c0b8a66-2ef6-5795-99e4-9cdabb4abb36</t>
  </si>
  <si>
    <t>VVS-rør, blanke kobberrør</t>
  </si>
  <si>
    <t>0bbbfad4-2feb-5d8a-87c4-a01b04c3e75b</t>
  </si>
  <si>
    <t>Vandtætningsmembran, flydende</t>
  </si>
  <si>
    <t>453ab4d6-c680-50f7-ba66-83c4dfb3b47d</t>
  </si>
  <si>
    <t>Vandvarmer, el, gennemstrøm, 21 kW</t>
  </si>
  <si>
    <t>d09047fd-1135-571e-90a9-6a2157855363</t>
  </si>
  <si>
    <t>Varmepumpe (luft-vand) 10 kW</t>
  </si>
  <si>
    <t>bf3aa6de-2e00-5ebc-9eb9-7f3d9a9db894</t>
  </si>
  <si>
    <t>Varmepumpe (luft-vand) 14kW</t>
  </si>
  <si>
    <t>89364e34-b3af-5a4a-bbdd-6dcb30798f8f</t>
  </si>
  <si>
    <t>Varmepumpe (luft-vand) 7kW</t>
  </si>
  <si>
    <t>8c91ce0c-b21b-52ce-a5cc-5773377cc34b</t>
  </si>
  <si>
    <t>Varmepumpe, jordvarmeslange, 20 kW</t>
  </si>
  <si>
    <t>66011389-ac5e-5f4d-a280-10a602d36e65</t>
  </si>
  <si>
    <t>Varmepumpe, jordvarmeslange, 70 kW</t>
  </si>
  <si>
    <t>930fe9fa-ac1c-51c8-91ad-d1e949451a01</t>
  </si>
  <si>
    <t>Varmepumpe, jordvarmesonde, 10 kW</t>
  </si>
  <si>
    <t>6abedd19-eeb0-5002-ba88-29289aaf10fd</t>
  </si>
  <si>
    <t>Varmepumpe, jordvarmesonde, 70 kW</t>
  </si>
  <si>
    <t>0283beb5-f40e-5190-80fd-6f8bf0debe3f</t>
  </si>
  <si>
    <t>Varmepumpe, vand-vand, 10 kW</t>
  </si>
  <si>
    <t>de1f52b8-49eb-54d7-8c81-d4cd8823bad5</t>
  </si>
  <si>
    <t>Varmepumpe, vand-vand, 20 kW</t>
  </si>
  <si>
    <t>b2886db1-49eb-51d7-8d55-28a64ababd2c</t>
  </si>
  <si>
    <t>Varmepumpe, vand-vand, 70 kW</t>
  </si>
  <si>
    <t>17ea9b41-f62a-5be9-842e-22a976078fff</t>
  </si>
  <si>
    <t>Vegetationssubstrat</t>
  </si>
  <si>
    <t>f40b86c8-ac9a-59ce-9774-77f27c5dc06c</t>
  </si>
  <si>
    <t>Ventilationsaggregat m. varmegenvinding 10 000 m3 / h</t>
  </si>
  <si>
    <t>01b387c4-fa01-520c-8c67-a69786aaaa0b</t>
  </si>
  <si>
    <t>Ventilationsaggregat m. varmegenvinding 1000 m3 / h</t>
  </si>
  <si>
    <t>ba649758-7a6a-5cd3-9740-43d35b71153a</t>
  </si>
  <si>
    <t>Ventilationsaggregat m. varmegenvinding 5000 m3 / h</t>
  </si>
  <si>
    <t>eefa18d2-4b8f-5bcf-ab0c-3121b26a92df</t>
  </si>
  <si>
    <t>Ventilationsanlæg decentraliseret (væg &amp; loft) 60 m3 / h</t>
  </si>
  <si>
    <t>5a7f0503-d280-5635-93cd-b39e3c889cf3</t>
  </si>
  <si>
    <t>Ventilationskanal, galvaniseret stål</t>
  </si>
  <si>
    <t>6099aa35-8e86-589f-a9f1-fd92a6bdbeb7</t>
  </si>
  <si>
    <t>Vinduesbeslag, aluminium</t>
  </si>
  <si>
    <t>f010021b-d7fc-5ac1-ba2b-63f6c727cdb0</t>
  </si>
  <si>
    <t>Vindueshåndtag</t>
  </si>
  <si>
    <t>d777547a-f2a7-56f6-920c-a5b50e717cc1</t>
  </si>
  <si>
    <t>Vindueskarm, plast</t>
  </si>
  <si>
    <t>79038d23-8210-5d7d-bc5d-c0855551bbbd</t>
  </si>
  <si>
    <t>Vindueskarm, træ</t>
  </si>
  <si>
    <t>c0614968-6549-5971-b267-0a35252f0c44</t>
  </si>
  <si>
    <t>Vinduesprofil, karm, alu. pulverlak.</t>
  </si>
  <si>
    <t>4a9b9092-21a1-5865-b1b5-45a7a23107df</t>
  </si>
  <si>
    <t>Vinduesramme, alu</t>
  </si>
  <si>
    <t>70aeeaa6-1d88-5037-bf18-a1c5db1db40b</t>
  </si>
  <si>
    <t>Vinduesramme, aluminium</t>
  </si>
  <si>
    <t>8099069c-4ec0-5bd6-bcf0-cb8c27bbe42f</t>
  </si>
  <si>
    <t>Vinduesramme, plast</t>
  </si>
  <si>
    <t>f2d9d302-61a7-512e-b3fa-2d036755b269</t>
  </si>
  <si>
    <t>Vinduesramme, pulverlakeret aluminium</t>
  </si>
  <si>
    <t>3b9742f6-3c6a-51f3-a374-458f450b2ab4</t>
  </si>
  <si>
    <t>Vinduesramme, træ</t>
  </si>
  <si>
    <t>603ff4d5-04e4-52bf-bb91-a9d0411be633</t>
  </si>
  <si>
    <t>Vippeafbryder (lyskontakt)</t>
  </si>
  <si>
    <t>7a026877-0b09-55d5-91eb-15f480d898bf</t>
  </si>
  <si>
    <t>Vådrumsarmatur til lysstofrør, T8-36W</t>
  </si>
  <si>
    <t>fb0a4371-575c-545e-ac35-593c0718ec3f</t>
  </si>
  <si>
    <t>WPC facadepanel</t>
  </si>
  <si>
    <t>9e73fdc6-8d46-5afd-8149-0be99f13e303</t>
  </si>
  <si>
    <t>WPC terassebrædder</t>
  </si>
  <si>
    <t>cd1c5f3d-9b5f-51b5-bfda-fbeaa042edff</t>
  </si>
  <si>
    <t>XPS isolering</t>
  </si>
  <si>
    <t>6634d279-990b-558c-92aa-4d88d3df7f7b</t>
  </si>
  <si>
    <t>Zink, patineret</t>
  </si>
  <si>
    <t>bc24c18e-c83d-5fbb-a519-bf26c5a74f90</t>
  </si>
  <si>
    <t>​Rulleskodder, PVC</t>
  </si>
  <si>
    <t>aa94b285-776c-5649-8e8d-83cb96654d2d</t>
  </si>
  <si>
    <t>Beton vægelementer, 15 cm tyk væg med 5-15 kg armering (11% udsparinger)</t>
  </si>
  <si>
    <t>Bære-/slidlag, Asfalt</t>
  </si>
  <si>
    <t>Gaskedel, kondenserende, &lt;20 kW</t>
  </si>
  <si>
    <t>Glastag, aluminium (komplet vindue med 2-lags rude)</t>
  </si>
  <si>
    <t>Keramikfliser, u-glaseret</t>
  </si>
  <si>
    <t>Kertotræ (LVL)</t>
  </si>
  <si>
    <t>Lerrør, glaseret, DN 400</t>
  </si>
  <si>
    <t>Loftspanel med mineraluld</t>
  </si>
  <si>
    <t>Oliekedel, lav temperatur, &lt;20 kW</t>
  </si>
  <si>
    <t>Oliekedel, lav temperatur, 120-400 kW</t>
  </si>
  <si>
    <t>Oliekedel, lav temperatur, 20-120 kW</t>
  </si>
  <si>
    <t>Oliekedel, lav temperatur, kondenserende, &lt;20 kW</t>
  </si>
  <si>
    <t>Oliekedel, lav temperatur, kondenserende, 120-400 kW</t>
  </si>
  <si>
    <t>Oliekedel, lav temperatur, kondenserende, 20-120 kW</t>
  </si>
  <si>
    <t>Overflade, Facademaling, silikat</t>
  </si>
  <si>
    <t>Rude, 2-lags</t>
  </si>
  <si>
    <t>Rude, 3-lags</t>
  </si>
  <si>
    <t>Rulleskodder, PVC</t>
  </si>
  <si>
    <t>Rør til el-varmepumpe (lodret jordvarme, saltvand), collector, 10 kW</t>
  </si>
  <si>
    <t>Rør til el-varmepumpe (lodret jordvarme, saltvand), collector, 20 kW</t>
  </si>
  <si>
    <t>Rør til el-varmepumpe (lodret jordvarme, saltvand), probe, 10 kW</t>
  </si>
  <si>
    <t>Rør til el-varmepumpe (lodret jordvarme, saltvand), probe, 20 kW</t>
  </si>
  <si>
    <t>Rør til el-varmepumpe (lodret jordvarme, saltvand), probe, 70 kW</t>
  </si>
  <si>
    <t>Rørgods</t>
  </si>
  <si>
    <t>Storkerfyr &lt;20 kW</t>
  </si>
  <si>
    <t>Storkerfyr 120-400 kW</t>
  </si>
  <si>
    <t>Storkerfyr20-120 kW</t>
  </si>
  <si>
    <t>Stål, Smedestål</t>
  </si>
  <si>
    <t>Træ, ceder</t>
  </si>
  <si>
    <t>Ventilationsanlæg decentraliseret (væg &amp; loft) 60 m3/h</t>
  </si>
  <si>
    <t>Vindueskarm, aluminium</t>
  </si>
  <si>
    <t>e88f66cc-eab3-41c8-a056-4879376aa232</t>
  </si>
  <si>
    <t>daa11502-050c-40b1-83fe-aeb78a97dc4d</t>
  </si>
  <si>
    <t>ebfd477a-4b8f-44c9-8af5-f9f3930aa89b</t>
  </si>
  <si>
    <t>02d2f058-cfed-4732-8730-e212bb8e7d5f</t>
  </si>
  <si>
    <t>97e29fb3-c8c3-57bf-a8b1-d823af2a3256</t>
  </si>
  <si>
    <t>69a15ad7-3ede-40b9-8640-e406917c0e45</t>
  </si>
  <si>
    <t>d1a78805-f2b1-4131-8f1d-08845be37654</t>
  </si>
  <si>
    <t>2a58dc5d-42ce-46ed-98de-53b201d29da0</t>
  </si>
  <si>
    <t>b4d08927-4070-45cc-ace0-e970c004b51d</t>
  </si>
  <si>
    <t>c8a63193-f3f7-49df-bfa4-2ba1d764dd9d</t>
  </si>
  <si>
    <t>5fb54248-9f47-4823-866c-7eabfb1bb99d</t>
  </si>
  <si>
    <t>42cdcbd9-921b-400c-a325-093a185c75a9</t>
  </si>
  <si>
    <t>b5ebab16-5af1-4558-b0c5-0d8594a6a2f2</t>
  </si>
  <si>
    <t>9d1a1b13-0b03-44ce-80e2-9833c95245e9</t>
  </si>
  <si>
    <t>38a75cce-cac1-4231-a364-1fa0dfe4274a</t>
  </si>
  <si>
    <t>46b603ab-84e0-46dc-86a0-afa84bf24253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</si>
</sst>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0" fontId="5" fillId="0" borderId="0"/>
  </cellStyleXfs>
  <cellXfs count="22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vertical="center" wrapText="1"/>
    </xf>
    <xf numFmtId="0" fontId="3" fillId="0" borderId="6" xfId="1" applyBorder="1"/>
    <xf numFmtId="2" fontId="0" fillId="0" borderId="1" xfId="0" applyNumberFormat="1" applyBorder="1"/>
    <xf numFmtId="164" fontId="0" fillId="0" borderId="1" xfId="0" applyNumberFormat="1" applyBorder="1"/>
    <xf numFmtId="1" fontId="0" fillId="0" borderId="1" xfId="0" applyNumberFormat="1" applyBorder="1"/>
    <xf numFmtId="165" fontId="0" fillId="0" borderId="1" xfId="0" applyNumberFormat="1" applyBorder="1"/>
    <xf numFmtId="0" fontId="3" fillId="0" borderId="6" xfId="1" applyFill="1" applyBorder="1"/>
    <xf numFmtId="0" fontId="5" fillId="0" borderId="0" xfId="3"/>
  </cellXfs>
  <cellStyles count="4">
    <cellStyle name="Hyperlink" xfId="1" builtinId="8"/>
    <cellStyle name="Normal" xfId="0" builtinId="0"/>
    <cellStyle name="Normal 2" xfId="3" xr:uid="{C0EE0C6C-0825-4921-B619-66C76425029D}"/>
    <cellStyle name="Normal 3" xfId="2" xr:uid="{00000000-0005-0000-0000-000002000000}"/>
  </cellStyles>
  <dxfs count="19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E2EFDA"/>
      <color rgb="FFFFF2CC"/>
      <color rgb="FFA5A5A5"/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461" totalsRowShown="0" headerRowDxfId="18" headerRowBorderDxfId="17" tableBorderDxfId="16" totalsRowBorderDxfId="15">
  <autoFilter ref="A1:O461" xr:uid="{00000000-0009-0000-0100-000001000000}"/>
  <tableColumns count="15">
    <tableColumn id="1" xr3:uid="{00000000-0010-0000-0000-000001000000}" name="Sorterings ID" dataDxfId="14"/>
    <tableColumn id="2" xr3:uid="{00000000-0010-0000-0000-000002000000}" name="Data type" dataDxfId="13"/>
    <tableColumn id="3" xr3:uid="{00000000-0010-0000-0000-000003000000}" name="Navn DE/ENG" dataDxfId="12"/>
    <tableColumn id="16" xr3:uid="{D6EA4133-FC00-480F-8B34-065137C3AB23}" name="Navn DK" dataDxfId="11"/>
    <tableColumn id="15" xr3:uid="{B466BE83-BB0F-4ECB-AEF8-255CE656DA2E}" name="UUID" dataDxfId="10">
      <calculatedColumnFormula>VLOOKUP(Table1[[#This Row],[Navn DK]],product_nodes_new_id!A:B,2,FALSE)</calculatedColumnFormula>
    </tableColumn>
    <tableColumn id="5" xr3:uid="{00000000-0010-0000-0000-000005000000}" name="Global Opvarmning, modul A1-A3" dataDxfId="9"/>
    <tableColumn id="6" xr3:uid="{00000000-0010-0000-0000-000006000000}" name="Global Opvarmning, modul C3" dataDxfId="8"/>
    <tableColumn id="7" xr3:uid="{00000000-0010-0000-0000-000007000000}" name="Global Opvarmning, modul C4" dataDxfId="7"/>
    <tableColumn id="8" xr3:uid="{00000000-0010-0000-0000-000008000000}" name="Global Opvarmning, modul D" dataDxfId="6"/>
    <tableColumn id="9" xr3:uid="{00000000-0010-0000-0000-000009000000}" name="Deklareret faktor (FU)" dataDxfId="5"/>
    <tableColumn id="10" xr3:uid="{00000000-0010-0000-0000-00000A000000}" name="Deklareret enhed (FU)" dataDxfId="4"/>
    <tableColumn id="11" xr3:uid="{00000000-0010-0000-0000-00000B000000}" name="Masse faktor" dataDxfId="3"/>
    <tableColumn id="12" xr3:uid="{00000000-0010-0000-0000-00000C000000}" name="Masse enhed" dataDxfId="2"/>
    <tableColumn id="13" xr3:uid="{00000000-0010-0000-0000-00000D000000}" name="Url (link)" dataDxfId="1"/>
    <tableColumn id="14" xr3:uid="{00000000-0010-0000-0000-00000E000000}" name="Kommentar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ekobaudat.de/OEKOBAU.DAT/resource/processes/d6dc8844-4d8a-4abe-8ce9-db39c965f5bf?version=20.23.050" TargetMode="External"/><Relationship Id="rId13" Type="http://schemas.openxmlformats.org/officeDocument/2006/relationships/hyperlink" Target="https://www.oekobaudat.de/OEKOBAU.DAT/resource/processes/ed739600-fbd0-4b3e-b577-453778a5270e?version=20.23.050" TargetMode="External"/><Relationship Id="rId18" Type="http://schemas.openxmlformats.org/officeDocument/2006/relationships/table" Target="../tables/table1.xml"/><Relationship Id="rId3" Type="http://schemas.openxmlformats.org/officeDocument/2006/relationships/hyperlink" Target="https://www.epddanmark.dk/media/m2bfi4ei/md-22040-da.pdf" TargetMode="External"/><Relationship Id="rId7" Type="http://schemas.openxmlformats.org/officeDocument/2006/relationships/hyperlink" Target="https://www.oekobaudat.de/OEKOBAU.DAT/resource/processes/89956dbd-9cd4-4698-8e06-e7292f543246?version=20.23.050" TargetMode="External"/><Relationship Id="rId12" Type="http://schemas.openxmlformats.org/officeDocument/2006/relationships/hyperlink" Target="https://www.oekobaudat.de/OEKOBAU.DAT/resource/processes/40ef1e7b-920d-4fe4-a8ec-3a540ef93c65?version=20.23.050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www.epddanmark.dk/media/msth4oem/md-22042-da.pdf" TargetMode="External"/><Relationship Id="rId16" Type="http://schemas.openxmlformats.org/officeDocument/2006/relationships/hyperlink" Target="https://www.oekobaudat.de/OEKOBAU.DAT/resource/processes/07a8b3de-9406-4184-bb6e-c9208983c868?version=20.23.050" TargetMode="External"/><Relationship Id="rId1" Type="http://schemas.openxmlformats.org/officeDocument/2006/relationships/hyperlink" Target="https://www.epddanmark.dk/media/44tddsrk/md-22041-da.pdf" TargetMode="External"/><Relationship Id="rId6" Type="http://schemas.openxmlformats.org/officeDocument/2006/relationships/hyperlink" Target="https://www.oekobaudat.de/OEKOBAU.DAT/resource/processes/77dbec35-a9ed-462f-91dc-c26fce408a2b?version=20.23.050" TargetMode="External"/><Relationship Id="rId11" Type="http://schemas.openxmlformats.org/officeDocument/2006/relationships/hyperlink" Target="https://vbn.aau.dk/da/publications/udvikling-af-dansk-generisk-lca-data?" TargetMode="External"/><Relationship Id="rId5" Type="http://schemas.openxmlformats.org/officeDocument/2006/relationships/hyperlink" Target="https://vbn.aau.dk/da/publications/udvikling-af-dansk-generisk-lca-data?" TargetMode="External"/><Relationship Id="rId15" Type="http://schemas.openxmlformats.org/officeDocument/2006/relationships/hyperlink" Target="https://www.oekobaudat.de/OEKOBAU.DAT/resource/processes/f3a3bf90-a295-4aab-9bfc-af3fe20c921b?version=20.23.050" TargetMode="External"/><Relationship Id="rId10" Type="http://schemas.openxmlformats.org/officeDocument/2006/relationships/hyperlink" Target="https://vbn.aau.dk/da/publications/udvikling-af-dansk-generisk-lca-data?" TargetMode="External"/><Relationship Id="rId4" Type="http://schemas.openxmlformats.org/officeDocument/2006/relationships/hyperlink" Target="https://www.epddanmark.dk/media/4pnfnax3/md-22039-da.pdf" TargetMode="External"/><Relationship Id="rId9" Type="http://schemas.openxmlformats.org/officeDocument/2006/relationships/hyperlink" Target="https://oekobaudat.de/OEKOBAU.DAT/resource/datastocks/c391de0f-2cfd-47ea-8883-c661d294e2ba/processes/c93da4c3-94c9-4c86-b092-610cf1cf012f?format=html&amp;lang=en&amp;version=00.10.000" TargetMode="External"/><Relationship Id="rId14" Type="http://schemas.openxmlformats.org/officeDocument/2006/relationships/hyperlink" Target="https://vbn.aau.dk/da/publications/udvikling-af-dansk-generisk-lca-data?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1"/>
  <sheetViews>
    <sheetView tabSelected="1" zoomScale="90" zoomScaleNormal="90" workbookViewId="0">
      <pane xSplit="1" ySplit="1" topLeftCell="D384" activePane="bottomRight" state="frozen"/>
      <selection pane="topRight" activeCell="B1" sqref="B1"/>
      <selection pane="bottomLeft" activeCell="A2" sqref="A2"/>
      <selection pane="bottomRight" activeCell="K400" sqref="K400"/>
    </sheetView>
  </sheetViews>
  <sheetFormatPr defaultRowHeight="15" x14ac:dyDescent="0.25"/>
  <cols>
    <col min="1" max="1" width="12.42578125" customWidth="1"/>
    <col min="2" max="2" width="27.140625" customWidth="1"/>
    <col min="3" max="3" width="76.140625" customWidth="1"/>
    <col min="4" max="4" width="75.85546875" customWidth="1"/>
    <col min="5" max="5" width="58.140625" customWidth="1"/>
    <col min="6" max="10" width="13.140625" customWidth="1"/>
    <col min="11" max="11" width="20.140625" bestFit="1" customWidth="1"/>
    <col min="12" max="14" width="13.140625" customWidth="1"/>
    <col min="15" max="15" width="10.28515625" customWidth="1"/>
    <col min="23" max="23" width="10.140625" customWidth="1"/>
    <col min="25" max="25" width="9.7109375" bestFit="1" customWidth="1"/>
  </cols>
  <sheetData>
    <row r="1" spans="1:15" ht="130.5" customHeight="1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1271</v>
      </c>
      <c r="F1" s="9" t="s">
        <v>4</v>
      </c>
      <c r="G1" s="10" t="s">
        <v>5</v>
      </c>
      <c r="H1" s="11" t="s">
        <v>6</v>
      </c>
      <c r="I1" s="12" t="s">
        <v>7</v>
      </c>
      <c r="J1" s="13" t="s">
        <v>8</v>
      </c>
      <c r="K1" s="8" t="s">
        <v>9</v>
      </c>
      <c r="L1" s="13" t="s">
        <v>10</v>
      </c>
      <c r="M1" s="13" t="s">
        <v>1265</v>
      </c>
      <c r="N1" s="14" t="s">
        <v>11</v>
      </c>
      <c r="O1" s="13" t="s">
        <v>12</v>
      </c>
    </row>
    <row r="2" spans="1:15" x14ac:dyDescent="0.25">
      <c r="A2" s="2" t="s">
        <v>325</v>
      </c>
      <c r="B2" s="1" t="s">
        <v>312</v>
      </c>
      <c r="C2" s="1" t="s">
        <v>326</v>
      </c>
      <c r="D2" s="1" t="s">
        <v>1279</v>
      </c>
      <c r="E2" s="1" t="str">
        <f>VLOOKUP(Table1[[#This Row],[Navn DK]],product_nodes_new_id!A:B,2,FALSE)</f>
        <v>cb07a54a-f9aa-5139-840b-03db8db822e5</v>
      </c>
      <c r="F2" s="1">
        <v>0.315414169513135</v>
      </c>
      <c r="G2" s="1">
        <v>0</v>
      </c>
      <c r="H2" s="1">
        <v>1.7601035296446899E-2</v>
      </c>
      <c r="I2" s="1">
        <v>0</v>
      </c>
      <c r="J2" s="1">
        <v>1</v>
      </c>
      <c r="K2" s="1" t="s">
        <v>16</v>
      </c>
      <c r="L2" s="1">
        <v>1800</v>
      </c>
      <c r="M2" s="1" t="s">
        <v>65</v>
      </c>
      <c r="N2" s="3" t="s">
        <v>1115</v>
      </c>
      <c r="O2" s="1"/>
    </row>
    <row r="3" spans="1:15" x14ac:dyDescent="0.25">
      <c r="A3" s="2" t="s">
        <v>877</v>
      </c>
      <c r="B3" s="1" t="s">
        <v>312</v>
      </c>
      <c r="C3" s="1" t="s">
        <v>878</v>
      </c>
      <c r="D3" s="1" t="s">
        <v>1281</v>
      </c>
      <c r="E3" s="1" t="str">
        <f>VLOOKUP(Table1[[#This Row],[Navn DK]],product_nodes_new_id!A:B,2,FALSE)</f>
        <v>4e027c0a-b06c-5003-ae4a-cc13b31f4ef9</v>
      </c>
      <c r="F3" s="1">
        <v>45.5040580747077</v>
      </c>
      <c r="G3" s="1">
        <v>2.9339393434745999</v>
      </c>
      <c r="H3" s="1">
        <v>0.51225219691468904</v>
      </c>
      <c r="I3" s="1">
        <v>-19.228392129610899</v>
      </c>
      <c r="J3" s="1">
        <v>1</v>
      </c>
      <c r="K3" s="1" t="s">
        <v>119</v>
      </c>
      <c r="L3" s="1">
        <v>13.4</v>
      </c>
      <c r="M3" s="1" t="s">
        <v>120</v>
      </c>
      <c r="N3" s="3" t="s">
        <v>879</v>
      </c>
      <c r="O3" s="1"/>
    </row>
    <row r="4" spans="1:15" x14ac:dyDescent="0.25">
      <c r="A4" s="2" t="s">
        <v>1061</v>
      </c>
      <c r="B4" s="1" t="s">
        <v>312</v>
      </c>
      <c r="C4" s="1" t="s">
        <v>1062</v>
      </c>
      <c r="D4" s="1" t="s">
        <v>1283</v>
      </c>
      <c r="E4" s="1" t="str">
        <f>VLOOKUP(Table1[[#This Row],[Navn DK]],product_nodes_new_id!A:B,2,FALSE)</f>
        <v>105a2244-c406-5ac7-8695-d1e2b2ed0e8f</v>
      </c>
      <c r="F4" s="1">
        <v>11.0094223229984</v>
      </c>
      <c r="G4" s="1">
        <v>0</v>
      </c>
      <c r="H4" s="1">
        <v>0</v>
      </c>
      <c r="I4" s="1">
        <v>-7.2765833778420204</v>
      </c>
      <c r="J4" s="1">
        <v>1</v>
      </c>
      <c r="K4" s="1" t="s">
        <v>16</v>
      </c>
      <c r="L4" s="1">
        <v>2700</v>
      </c>
      <c r="M4" s="1" t="s">
        <v>65</v>
      </c>
      <c r="N4" s="3" t="s">
        <v>1063</v>
      </c>
      <c r="O4" s="1"/>
    </row>
    <row r="5" spans="1:15" x14ac:dyDescent="0.25">
      <c r="A5" s="2" t="s">
        <v>635</v>
      </c>
      <c r="B5" s="1" t="s">
        <v>312</v>
      </c>
      <c r="C5" s="1" t="s">
        <v>636</v>
      </c>
      <c r="D5" s="1" t="s">
        <v>1285</v>
      </c>
      <c r="E5" s="1" t="str">
        <f>VLOOKUP(Table1[[#This Row],[Navn DK]],product_nodes_new_id!A:B,2,FALSE)</f>
        <v>3956c273-6549-57a3-a889-1ba0b51832e4</v>
      </c>
      <c r="F5" s="1">
        <v>3.1169806527764599</v>
      </c>
      <c r="G5" s="1">
        <v>0</v>
      </c>
      <c r="H5" s="1">
        <v>0</v>
      </c>
      <c r="I5" s="1">
        <v>-2.0374433457957699</v>
      </c>
      <c r="J5" s="1">
        <v>1</v>
      </c>
      <c r="K5" s="1" t="s">
        <v>1272</v>
      </c>
      <c r="L5" s="1">
        <v>0.28000000000000003</v>
      </c>
      <c r="M5" s="1" t="s">
        <v>23</v>
      </c>
      <c r="N5" s="3" t="s">
        <v>637</v>
      </c>
      <c r="O5" s="1"/>
    </row>
    <row r="6" spans="1:15" x14ac:dyDescent="0.25">
      <c r="A6" s="2" t="s">
        <v>1052</v>
      </c>
      <c r="B6" s="1" t="s">
        <v>312</v>
      </c>
      <c r="C6" s="1" t="s">
        <v>1053</v>
      </c>
      <c r="D6" s="1" t="s">
        <v>1287</v>
      </c>
      <c r="E6" s="1" t="str">
        <f>VLOOKUP(Table1[[#This Row],[Navn DK]],product_nodes_new_id!A:B,2,FALSE)</f>
        <v>a1dbf112-7b04-5e88-9bf8-380a14e48f84</v>
      </c>
      <c r="F6" s="1">
        <v>10.534353360040001</v>
      </c>
      <c r="G6" s="1">
        <v>0</v>
      </c>
      <c r="H6" s="1">
        <v>0</v>
      </c>
      <c r="I6" s="1">
        <v>-7.2765833778420204</v>
      </c>
      <c r="J6" s="1">
        <v>1</v>
      </c>
      <c r="K6" s="1" t="s">
        <v>16</v>
      </c>
      <c r="L6" s="1">
        <v>2700</v>
      </c>
      <c r="M6" s="1" t="s">
        <v>65</v>
      </c>
      <c r="N6" s="3" t="s">
        <v>1054</v>
      </c>
      <c r="O6" s="1"/>
    </row>
    <row r="7" spans="1:15" x14ac:dyDescent="0.25">
      <c r="A7" s="2" t="s">
        <v>1065</v>
      </c>
      <c r="B7" s="1" t="s">
        <v>312</v>
      </c>
      <c r="C7" s="1" t="s">
        <v>1066</v>
      </c>
      <c r="D7" s="1" t="s">
        <v>1289</v>
      </c>
      <c r="E7" s="1" t="str">
        <f>VLOOKUP(Table1[[#This Row],[Navn DK]],product_nodes_new_id!A:B,2,FALSE)</f>
        <v>f181bb37-59db-5203-897e-b3b4da47173d</v>
      </c>
      <c r="F7" s="1">
        <v>10.6977657687905</v>
      </c>
      <c r="G7" s="1">
        <v>0</v>
      </c>
      <c r="H7" s="1">
        <v>0</v>
      </c>
      <c r="I7" s="1">
        <v>-7.2765833778420204</v>
      </c>
      <c r="J7" s="1">
        <v>1</v>
      </c>
      <c r="K7" s="1" t="s">
        <v>16</v>
      </c>
      <c r="L7" s="1">
        <v>2700</v>
      </c>
      <c r="M7" s="1" t="s">
        <v>65</v>
      </c>
      <c r="N7" s="3" t="s">
        <v>1067</v>
      </c>
      <c r="O7" s="1"/>
    </row>
    <row r="8" spans="1:15" x14ac:dyDescent="0.25">
      <c r="A8" s="2" t="s">
        <v>1055</v>
      </c>
      <c r="B8" s="1" t="s">
        <v>312</v>
      </c>
      <c r="C8" s="1" t="s">
        <v>1056</v>
      </c>
      <c r="D8" s="1" t="s">
        <v>1291</v>
      </c>
      <c r="E8" s="1" t="str">
        <f>VLOOKUP(Table1[[#This Row],[Navn DK]],product_nodes_new_id!A:B,2,FALSE)</f>
        <v>8dd8910c-0a03-557f-b4d2-7b9ed709ce72</v>
      </c>
      <c r="F8" s="1">
        <v>2.5299277422825099</v>
      </c>
      <c r="G8" s="1">
        <v>0</v>
      </c>
      <c r="H8" s="1">
        <v>0</v>
      </c>
      <c r="I8" s="1">
        <v>-2.09601705134703</v>
      </c>
      <c r="J8" s="1">
        <v>1</v>
      </c>
      <c r="K8" s="1" t="s">
        <v>16</v>
      </c>
      <c r="L8" s="1">
        <v>1</v>
      </c>
      <c r="M8" s="1" t="s">
        <v>17</v>
      </c>
      <c r="N8" s="3" t="s">
        <v>1057</v>
      </c>
      <c r="O8" s="1"/>
    </row>
    <row r="9" spans="1:15" x14ac:dyDescent="0.25">
      <c r="A9" s="2" t="s">
        <v>375</v>
      </c>
      <c r="B9" s="1" t="s">
        <v>312</v>
      </c>
      <c r="C9" s="1" t="s">
        <v>376</v>
      </c>
      <c r="D9" s="1" t="s">
        <v>1297</v>
      </c>
      <c r="E9" s="1" t="str">
        <f>VLOOKUP(Table1[[#This Row],[Navn DK]],product_nodes_new_id!A:B,2,FALSE)</f>
        <v>fff4fb8e-9d9a-53fc-be3a-2573ad3321a1</v>
      </c>
      <c r="F9" s="1">
        <v>7.3316331199011597E-2</v>
      </c>
      <c r="G9" s="1">
        <v>0</v>
      </c>
      <c r="H9" s="1">
        <v>0</v>
      </c>
      <c r="I9" s="1">
        <v>-1.70095082391599E-2</v>
      </c>
      <c r="J9" s="1">
        <v>1</v>
      </c>
      <c r="K9" s="1" t="s">
        <v>16</v>
      </c>
      <c r="L9" s="1">
        <v>2350</v>
      </c>
      <c r="M9" s="1" t="s">
        <v>65</v>
      </c>
      <c r="N9" s="3" t="s">
        <v>1131</v>
      </c>
      <c r="O9" s="1"/>
    </row>
    <row r="10" spans="1:15" x14ac:dyDescent="0.25">
      <c r="A10" s="2" t="s">
        <v>903</v>
      </c>
      <c r="B10" s="1" t="s">
        <v>312</v>
      </c>
      <c r="C10" s="1" t="s">
        <v>904</v>
      </c>
      <c r="D10" s="1" t="s">
        <v>1301</v>
      </c>
      <c r="E10" s="1" t="str">
        <f>VLOOKUP(Table1[[#This Row],[Navn DK]],product_nodes_new_id!A:B,2,FALSE)</f>
        <v>6e60c01d-bb86-5504-9dbd-b2963095e119</v>
      </c>
      <c r="F10" s="1">
        <v>13.7501377278224</v>
      </c>
      <c r="G10" s="1">
        <v>0</v>
      </c>
      <c r="H10" s="1">
        <v>0</v>
      </c>
      <c r="I10" s="1">
        <v>-7.6756277829170596</v>
      </c>
      <c r="J10" s="1">
        <v>1</v>
      </c>
      <c r="K10" s="1" t="s">
        <v>119</v>
      </c>
      <c r="L10" s="1">
        <v>1.65</v>
      </c>
      <c r="M10" s="1" t="s">
        <v>120</v>
      </c>
      <c r="N10" s="3" t="s">
        <v>905</v>
      </c>
      <c r="O10" s="1"/>
    </row>
    <row r="11" spans="1:15" x14ac:dyDescent="0.25">
      <c r="A11" s="2" t="s">
        <v>889</v>
      </c>
      <c r="B11" s="1" t="s">
        <v>312</v>
      </c>
      <c r="C11" s="1" t="s">
        <v>890</v>
      </c>
      <c r="D11" s="1" t="s">
        <v>1303</v>
      </c>
      <c r="E11" s="1" t="str">
        <f>VLOOKUP(Table1[[#This Row],[Navn DK]],product_nodes_new_id!A:B,2,FALSE)</f>
        <v>2ac87707-ca69-5b6d-86e8-d230a8bc3816</v>
      </c>
      <c r="F11" s="1">
        <v>11.880486549039</v>
      </c>
      <c r="G11" s="1">
        <v>0</v>
      </c>
      <c r="H11" s="1">
        <v>0</v>
      </c>
      <c r="I11" s="1">
        <v>-5.6488242007086997</v>
      </c>
      <c r="J11" s="1">
        <v>1</v>
      </c>
      <c r="K11" s="1" t="s">
        <v>119</v>
      </c>
      <c r="L11" s="1">
        <v>0.93200000000000005</v>
      </c>
      <c r="M11" s="1" t="s">
        <v>120</v>
      </c>
      <c r="N11" s="3" t="s">
        <v>891</v>
      </c>
      <c r="O11" s="1"/>
    </row>
    <row r="12" spans="1:15" x14ac:dyDescent="0.25">
      <c r="A12" s="2" t="s">
        <v>880</v>
      </c>
      <c r="B12" s="1" t="s">
        <v>312</v>
      </c>
      <c r="C12" s="1" t="s">
        <v>881</v>
      </c>
      <c r="D12" s="1" t="s">
        <v>1305</v>
      </c>
      <c r="E12" s="1" t="str">
        <f>VLOOKUP(Table1[[#This Row],[Navn DK]],product_nodes_new_id!A:B,2,FALSE)</f>
        <v>451fa084-4d91-5678-88d4-08d7e9ee210a</v>
      </c>
      <c r="F12" s="1">
        <v>6.1409319444835004</v>
      </c>
      <c r="G12" s="1">
        <v>0</v>
      </c>
      <c r="H12" s="1">
        <v>0</v>
      </c>
      <c r="I12" s="1">
        <v>-3.4283593614771202</v>
      </c>
      <c r="J12" s="1">
        <v>1</v>
      </c>
      <c r="K12" s="1" t="s">
        <v>119</v>
      </c>
      <c r="L12" s="1">
        <v>0.69599999999999995</v>
      </c>
      <c r="M12" s="1" t="s">
        <v>120</v>
      </c>
      <c r="N12" s="3" t="s">
        <v>882</v>
      </c>
      <c r="O12" s="1"/>
    </row>
    <row r="13" spans="1:15" x14ac:dyDescent="0.25">
      <c r="A13" s="2" t="s">
        <v>968</v>
      </c>
      <c r="B13" s="1" t="s">
        <v>312</v>
      </c>
      <c r="C13" s="1" t="s">
        <v>969</v>
      </c>
      <c r="D13" s="1" t="s">
        <v>1307</v>
      </c>
      <c r="E13" s="1" t="str">
        <f>VLOOKUP(Table1[[#This Row],[Navn DK]],product_nodes_new_id!A:B,2,FALSE)</f>
        <v>c5939aa5-cffa-5b48-8a15-1596965255fb</v>
      </c>
      <c r="F13" s="1">
        <v>9.6760781934431304</v>
      </c>
      <c r="G13" s="1">
        <v>0</v>
      </c>
      <c r="H13" s="1">
        <v>0</v>
      </c>
      <c r="I13" s="1">
        <v>-4.7948229777317</v>
      </c>
      <c r="J13" s="1">
        <v>1</v>
      </c>
      <c r="K13" s="1" t="s">
        <v>119</v>
      </c>
      <c r="L13" s="1">
        <v>2.63</v>
      </c>
      <c r="M13" s="1" t="s">
        <v>120</v>
      </c>
      <c r="N13" s="3" t="s">
        <v>1248</v>
      </c>
      <c r="O13" s="1"/>
    </row>
    <row r="14" spans="1:15" x14ac:dyDescent="0.25">
      <c r="A14" s="2" t="s">
        <v>39</v>
      </c>
      <c r="B14" s="1" t="s">
        <v>14</v>
      </c>
      <c r="C14" s="1" t="s">
        <v>21</v>
      </c>
      <c r="D14" s="1" t="s">
        <v>2192</v>
      </c>
      <c r="E14" s="1" t="s">
        <v>2226</v>
      </c>
      <c r="F14" s="1">
        <v>53.1</v>
      </c>
      <c r="G14" s="1">
        <v>0.96499999999999997</v>
      </c>
      <c r="H14" s="1">
        <v>0.7</v>
      </c>
      <c r="I14" s="1">
        <v>-0.78700000000000003</v>
      </c>
      <c r="J14" s="1">
        <v>1</v>
      </c>
      <c r="K14" s="1" t="s">
        <v>1272</v>
      </c>
      <c r="L14" s="1">
        <v>320.89999999999998</v>
      </c>
      <c r="M14" s="1" t="s">
        <v>23</v>
      </c>
      <c r="N14" s="3" t="s">
        <v>40</v>
      </c>
      <c r="O14" s="1"/>
    </row>
    <row r="15" spans="1:15" x14ac:dyDescent="0.25">
      <c r="A15" s="2" t="s">
        <v>52</v>
      </c>
      <c r="B15" s="1" t="s">
        <v>14</v>
      </c>
      <c r="C15" s="1" t="s">
        <v>21</v>
      </c>
      <c r="D15" s="1" t="s">
        <v>53</v>
      </c>
      <c r="E15" s="1" t="s">
        <v>2227</v>
      </c>
      <c r="F15" s="1">
        <v>73.2</v>
      </c>
      <c r="G15" s="1">
        <v>1.29</v>
      </c>
      <c r="H15" s="1">
        <v>0.93200000000000005</v>
      </c>
      <c r="I15" s="1">
        <v>-1.08</v>
      </c>
      <c r="J15" s="1">
        <v>1</v>
      </c>
      <c r="K15" s="1" t="s">
        <v>1272</v>
      </c>
      <c r="L15" s="1">
        <v>433.9</v>
      </c>
      <c r="M15" s="1" t="s">
        <v>23</v>
      </c>
      <c r="N15" s="3" t="s">
        <v>40</v>
      </c>
      <c r="O15" s="1"/>
    </row>
    <row r="16" spans="1:15" x14ac:dyDescent="0.25">
      <c r="A16" s="2" t="s">
        <v>50</v>
      </c>
      <c r="B16" s="1" t="s">
        <v>14</v>
      </c>
      <c r="C16" s="1" t="s">
        <v>21</v>
      </c>
      <c r="D16" s="1" t="s">
        <v>51</v>
      </c>
      <c r="E16" s="1" t="s">
        <v>2228</v>
      </c>
      <c r="F16" s="1">
        <v>66.900000000000006</v>
      </c>
      <c r="G16" s="1">
        <v>1.28</v>
      </c>
      <c r="H16" s="1">
        <v>0.93</v>
      </c>
      <c r="I16" s="1">
        <v>-1.01</v>
      </c>
      <c r="J16" s="1">
        <v>1</v>
      </c>
      <c r="K16" s="1" t="s">
        <v>1272</v>
      </c>
      <c r="L16" s="1">
        <v>426.4</v>
      </c>
      <c r="M16" s="1" t="s">
        <v>23</v>
      </c>
      <c r="N16" s="3" t="s">
        <v>40</v>
      </c>
      <c r="O16" s="1"/>
    </row>
    <row r="17" spans="1:15" x14ac:dyDescent="0.25">
      <c r="A17" s="2" t="s">
        <v>811</v>
      </c>
      <c r="B17" s="1" t="s">
        <v>312</v>
      </c>
      <c r="C17" s="1" t="s">
        <v>812</v>
      </c>
      <c r="D17" s="1" t="s">
        <v>1333</v>
      </c>
      <c r="E17" s="1" t="str">
        <f>VLOOKUP(Table1[[#This Row],[Navn DK]],product_nodes_new_id!A:B,2,FALSE)</f>
        <v>4d5b5fc5-3a7f-5e7e-82f2-750440ed1f52</v>
      </c>
      <c r="F17" s="1">
        <v>228.261403092991</v>
      </c>
      <c r="G17" s="1">
        <v>13.531849233391601</v>
      </c>
      <c r="H17" s="1">
        <v>0</v>
      </c>
      <c r="I17" s="1">
        <v>-3.14923925791985</v>
      </c>
      <c r="J17" s="1">
        <v>1</v>
      </c>
      <c r="K17" s="1" t="s">
        <v>1274</v>
      </c>
      <c r="L17" s="1">
        <v>2000</v>
      </c>
      <c r="M17" s="1" t="s">
        <v>65</v>
      </c>
      <c r="N17" s="3" t="s">
        <v>1228</v>
      </c>
      <c r="O17" s="1"/>
    </row>
    <row r="18" spans="1:15" x14ac:dyDescent="0.25">
      <c r="A18" s="2" t="s">
        <v>395</v>
      </c>
      <c r="B18" s="1" t="s">
        <v>312</v>
      </c>
      <c r="C18" s="1" t="s">
        <v>396</v>
      </c>
      <c r="D18" s="1" t="s">
        <v>1335</v>
      </c>
      <c r="E18" s="1" t="str">
        <f>VLOOKUP(Table1[[#This Row],[Navn DK]],product_nodes_new_id!A:B,2,FALSE)</f>
        <v>718eca41-b0e2-596b-9ff7-292e5f46c9e8</v>
      </c>
      <c r="F18" s="1">
        <v>0.13260791412171699</v>
      </c>
      <c r="G18" s="1">
        <v>7.2729540686938899E-3</v>
      </c>
      <c r="H18" s="1">
        <v>0</v>
      </c>
      <c r="I18" s="1">
        <v>-1.4199948853088199E-3</v>
      </c>
      <c r="J18" s="1">
        <v>1</v>
      </c>
      <c r="K18" s="1" t="s">
        <v>16</v>
      </c>
      <c r="L18" s="1">
        <v>2400</v>
      </c>
      <c r="M18" s="1" t="s">
        <v>65</v>
      </c>
      <c r="N18" s="3" t="s">
        <v>1138</v>
      </c>
      <c r="O18" s="1"/>
    </row>
    <row r="19" spans="1:15" x14ac:dyDescent="0.25">
      <c r="A19" s="2" t="s">
        <v>153</v>
      </c>
      <c r="B19" s="1" t="s">
        <v>126</v>
      </c>
      <c r="C19" s="1" t="s">
        <v>21</v>
      </c>
      <c r="D19" s="1" t="s">
        <v>154</v>
      </c>
      <c r="E19" s="1" t="str">
        <f>VLOOKUP(Table1[[#This Row],[Navn DK]],product_nodes_new_id!A:B,2,FALSE)</f>
        <v>5f53f099-bee7-5478-ad3a-cb455d5c8c02</v>
      </c>
      <c r="F19" s="1">
        <v>141.9</v>
      </c>
      <c r="G19" s="1">
        <v>3.7103813229571987</v>
      </c>
      <c r="H19" s="1">
        <v>2.7441361867704281</v>
      </c>
      <c r="I19" s="1">
        <v>-1.1926225680933853</v>
      </c>
      <c r="J19" s="1">
        <v>1</v>
      </c>
      <c r="K19" s="1" t="s">
        <v>151</v>
      </c>
      <c r="L19" s="1">
        <v>696</v>
      </c>
      <c r="M19" s="1" t="s">
        <v>152</v>
      </c>
      <c r="N19" s="3" t="s">
        <v>128</v>
      </c>
      <c r="O19" s="1"/>
    </row>
    <row r="20" spans="1:15" x14ac:dyDescent="0.25">
      <c r="A20" s="2" t="s">
        <v>539</v>
      </c>
      <c r="B20" s="1" t="s">
        <v>312</v>
      </c>
      <c r="C20" s="1" t="s">
        <v>540</v>
      </c>
      <c r="D20" s="1" t="s">
        <v>154</v>
      </c>
      <c r="E20" s="1" t="str">
        <f>VLOOKUP(Table1[[#This Row],[Navn DK]],product_nodes_new_id!A:B,2,FALSE)</f>
        <v>5f53f099-bee7-5478-ad3a-cb455d5c8c02</v>
      </c>
      <c r="F20" s="1">
        <v>0.124475309355665</v>
      </c>
      <c r="G20" s="1">
        <v>7.3919647003698402E-3</v>
      </c>
      <c r="H20" s="1">
        <v>0</v>
      </c>
      <c r="I20" s="1">
        <v>-1.44323090284462E-3</v>
      </c>
      <c r="J20" s="1">
        <v>1</v>
      </c>
      <c r="K20" s="1" t="s">
        <v>16</v>
      </c>
      <c r="L20" s="1">
        <v>2400</v>
      </c>
      <c r="M20" s="1" t="s">
        <v>65</v>
      </c>
      <c r="N20" s="3" t="s">
        <v>1185</v>
      </c>
      <c r="O20" s="1"/>
    </row>
    <row r="21" spans="1:15" x14ac:dyDescent="0.25">
      <c r="A21" s="2" t="s">
        <v>963</v>
      </c>
      <c r="B21" s="1" t="s">
        <v>312</v>
      </c>
      <c r="C21" s="1" t="s">
        <v>964</v>
      </c>
      <c r="D21" s="1" t="s">
        <v>1338</v>
      </c>
      <c r="E21" s="1" t="str">
        <f>VLOOKUP(Table1[[#This Row],[Navn DK]],product_nodes_new_id!A:B,2,FALSE)</f>
        <v>b8e2846d-3535-5de5-b915-bddbce5257cd</v>
      </c>
      <c r="F21" s="1">
        <v>265.025463511954</v>
      </c>
      <c r="G21" s="1">
        <v>14.045878685231299</v>
      </c>
      <c r="H21" s="1">
        <v>0</v>
      </c>
      <c r="I21" s="1">
        <v>-2.7423624161947102</v>
      </c>
      <c r="J21" s="1">
        <v>1</v>
      </c>
      <c r="K21" s="1" t="s">
        <v>119</v>
      </c>
      <c r="L21" s="1">
        <v>1965</v>
      </c>
      <c r="M21" s="1" t="s">
        <v>120</v>
      </c>
      <c r="N21" s="3" t="s">
        <v>1247</v>
      </c>
      <c r="O21" s="1"/>
    </row>
    <row r="22" spans="1:15" x14ac:dyDescent="0.25">
      <c r="A22" s="2" t="s">
        <v>503</v>
      </c>
      <c r="B22" s="1" t="s">
        <v>312</v>
      </c>
      <c r="C22" s="1" t="s">
        <v>504</v>
      </c>
      <c r="D22" s="1" t="s">
        <v>1340</v>
      </c>
      <c r="E22" s="1" t="str">
        <f>VLOOKUP(Table1[[#This Row],[Navn DK]],product_nodes_new_id!A:B,2,FALSE)</f>
        <v>59d2774b-9829-581f-aee2-54f589203c36</v>
      </c>
      <c r="F22" s="1">
        <v>8.1204169580794697E-2</v>
      </c>
      <c r="G22" s="1">
        <v>0</v>
      </c>
      <c r="H22" s="1">
        <v>0</v>
      </c>
      <c r="I22" s="1">
        <v>-1.70095082391599E-2</v>
      </c>
      <c r="J22" s="1">
        <v>1</v>
      </c>
      <c r="K22" s="1" t="s">
        <v>16</v>
      </c>
      <c r="L22" s="1">
        <v>210</v>
      </c>
      <c r="M22" s="1" t="s">
        <v>23</v>
      </c>
      <c r="N22" s="3" t="s">
        <v>1172</v>
      </c>
      <c r="O22" s="1"/>
    </row>
    <row r="23" spans="1:15" x14ac:dyDescent="0.25">
      <c r="A23" s="2" t="s">
        <v>363</v>
      </c>
      <c r="B23" s="1" t="s">
        <v>312</v>
      </c>
      <c r="C23" s="1" t="s">
        <v>364</v>
      </c>
      <c r="D23" s="1" t="s">
        <v>1342</v>
      </c>
      <c r="E23" s="1" t="str">
        <f>VLOOKUP(Table1[[#This Row],[Navn DK]],product_nodes_new_id!A:B,2,FALSE)</f>
        <v>9b6ad11e-fbad-5583-bb4d-4cd56572fcf1</v>
      </c>
      <c r="F23" s="1">
        <v>0.35629368557984598</v>
      </c>
      <c r="G23" s="1">
        <v>0</v>
      </c>
      <c r="H23" s="1">
        <v>9.1400857691650697E-2</v>
      </c>
      <c r="I23" s="1">
        <v>0</v>
      </c>
      <c r="J23" s="1">
        <v>1</v>
      </c>
      <c r="K23" s="1" t="s">
        <v>16</v>
      </c>
      <c r="L23" s="1">
        <v>1</v>
      </c>
      <c r="M23" s="1" t="s">
        <v>17</v>
      </c>
      <c r="N23" s="3" t="s">
        <v>1125</v>
      </c>
      <c r="O23" s="1"/>
    </row>
    <row r="24" spans="1:15" x14ac:dyDescent="0.25">
      <c r="A24" s="2" t="s">
        <v>511</v>
      </c>
      <c r="B24" s="1" t="s">
        <v>312</v>
      </c>
      <c r="C24" s="1" t="s">
        <v>512</v>
      </c>
      <c r="D24" s="1" t="s">
        <v>1344</v>
      </c>
      <c r="E24" s="1" t="str">
        <f>VLOOKUP(Table1[[#This Row],[Navn DK]],product_nodes_new_id!A:B,2,FALSE)</f>
        <v>7ee18f05-d80d-5626-911f-ecfa7ca9a6e9</v>
      </c>
      <c r="F24" s="1">
        <v>0.66778125456691195</v>
      </c>
      <c r="G24" s="1">
        <v>0</v>
      </c>
      <c r="H24" s="1">
        <v>9.1400857691650697E-2</v>
      </c>
      <c r="I24" s="1">
        <v>0</v>
      </c>
      <c r="J24" s="1">
        <v>1</v>
      </c>
      <c r="K24" s="1" t="s">
        <v>16</v>
      </c>
      <c r="L24" s="1">
        <v>1</v>
      </c>
      <c r="M24" s="1" t="s">
        <v>17</v>
      </c>
      <c r="N24" s="3" t="s">
        <v>1176</v>
      </c>
      <c r="O24" s="1"/>
    </row>
    <row r="25" spans="1:15" x14ac:dyDescent="0.25">
      <c r="A25" s="2" t="s">
        <v>341</v>
      </c>
      <c r="B25" s="1" t="s">
        <v>312</v>
      </c>
      <c r="C25" s="1" t="s">
        <v>342</v>
      </c>
      <c r="D25" s="1" t="s">
        <v>1346</v>
      </c>
      <c r="E25" s="1" t="str">
        <f>VLOOKUP(Table1[[#This Row],[Navn DK]],product_nodes_new_id!A:B,2,FALSE)</f>
        <v>5a1ad173-c2e0-5684-8fd4-e520f10dc9e5</v>
      </c>
      <c r="F25" s="1">
        <v>1.2516170705024501</v>
      </c>
      <c r="G25" s="1">
        <v>0</v>
      </c>
      <c r="H25" s="1">
        <v>0</v>
      </c>
      <c r="I25" s="1">
        <v>1.5847449911034099</v>
      </c>
      <c r="J25" s="1">
        <v>1</v>
      </c>
      <c r="K25" s="1" t="s">
        <v>16</v>
      </c>
      <c r="L25" s="1">
        <v>11342</v>
      </c>
      <c r="M25" s="1" t="s">
        <v>65</v>
      </c>
      <c r="N25" s="3" t="s">
        <v>1120</v>
      </c>
      <c r="O25" s="1"/>
    </row>
    <row r="26" spans="1:15" x14ac:dyDescent="0.25">
      <c r="A26" s="2" t="s">
        <v>529</v>
      </c>
      <c r="B26" s="1" t="s">
        <v>312</v>
      </c>
      <c r="C26" s="1" t="s">
        <v>530</v>
      </c>
      <c r="D26" s="1" t="s">
        <v>1354</v>
      </c>
      <c r="E26" s="1" t="str">
        <f>VLOOKUP(Table1[[#This Row],[Navn DK]],product_nodes_new_id!A:B,2,FALSE)</f>
        <v>b6c8f648-e7bc-5660-8e3d-c038ed2219a4</v>
      </c>
      <c r="F26" s="1">
        <v>-0.62842242778186497</v>
      </c>
      <c r="G26" s="1">
        <v>1.75733179363022</v>
      </c>
      <c r="H26" s="1">
        <v>0</v>
      </c>
      <c r="I26" s="1">
        <v>-0.49287905085938299</v>
      </c>
      <c r="J26" s="1">
        <v>1</v>
      </c>
      <c r="K26" s="1" t="s">
        <v>16</v>
      </c>
      <c r="L26" s="1">
        <v>1</v>
      </c>
      <c r="M26" s="1" t="s">
        <v>17</v>
      </c>
      <c r="N26" s="3" t="s">
        <v>1183</v>
      </c>
      <c r="O26" s="1"/>
    </row>
    <row r="27" spans="1:15" x14ac:dyDescent="0.25">
      <c r="A27" s="2" t="s">
        <v>428</v>
      </c>
      <c r="B27" s="1" t="s">
        <v>312</v>
      </c>
      <c r="C27" s="1" t="s">
        <v>429</v>
      </c>
      <c r="D27" s="1" t="s">
        <v>1356</v>
      </c>
      <c r="E27" s="1" t="str">
        <f>VLOOKUP(Table1[[#This Row],[Navn DK]],product_nodes_new_id!A:B,2,FALSE)</f>
        <v>aa20b800-8258-5354-9777-5311585f8ca6</v>
      </c>
      <c r="F27" s="1">
        <v>-0.212240886588556</v>
      </c>
      <c r="G27" s="1">
        <v>1.75733179363022</v>
      </c>
      <c r="H27" s="1">
        <v>0</v>
      </c>
      <c r="I27" s="1">
        <v>-0.49287905085938299</v>
      </c>
      <c r="J27" s="1">
        <v>1</v>
      </c>
      <c r="K27" s="1" t="s">
        <v>16</v>
      </c>
      <c r="L27" s="1">
        <v>1</v>
      </c>
      <c r="M27" s="1" t="s">
        <v>17</v>
      </c>
      <c r="N27" s="3" t="s">
        <v>430</v>
      </c>
      <c r="O27" s="1"/>
    </row>
    <row r="28" spans="1:15" x14ac:dyDescent="0.25">
      <c r="A28" s="2" t="s">
        <v>513</v>
      </c>
      <c r="B28" s="1" t="s">
        <v>312</v>
      </c>
      <c r="C28" s="1" t="s">
        <v>514</v>
      </c>
      <c r="D28" s="1" t="s">
        <v>1360</v>
      </c>
      <c r="E28" s="1" t="str">
        <f>VLOOKUP(Table1[[#This Row],[Navn DK]],product_nodes_new_id!A:B,2,FALSE)</f>
        <v>09bc1b03-18ed-5976-b91e-68a54c3e5f0a</v>
      </c>
      <c r="F28" s="1">
        <v>7.5838013142034404</v>
      </c>
      <c r="G28" s="1">
        <v>1.88307182208276</v>
      </c>
      <c r="H28" s="1">
        <v>0</v>
      </c>
      <c r="I28" s="1">
        <v>-3.9902456205861601</v>
      </c>
      <c r="J28" s="1">
        <v>1</v>
      </c>
      <c r="K28" s="1" t="s">
        <v>16</v>
      </c>
      <c r="L28" s="1">
        <v>1</v>
      </c>
      <c r="M28" s="1" t="s">
        <v>17</v>
      </c>
      <c r="N28" s="3" t="s">
        <v>1177</v>
      </c>
      <c r="O28" s="1"/>
    </row>
    <row r="29" spans="1:15" x14ac:dyDescent="0.25">
      <c r="A29" s="2" t="s">
        <v>402</v>
      </c>
      <c r="B29" s="1" t="s">
        <v>312</v>
      </c>
      <c r="C29" s="1" t="s">
        <v>403</v>
      </c>
      <c r="D29" s="1" t="s">
        <v>1362</v>
      </c>
      <c r="E29" s="1" t="str">
        <f>VLOOKUP(Table1[[#This Row],[Navn DK]],product_nodes_new_id!A:B,2,FALSE)</f>
        <v>8d86a31e-d5ef-5591-a3fe-9fb1f12f7038</v>
      </c>
      <c r="F29" s="1">
        <v>3.8945313669230002</v>
      </c>
      <c r="G29" s="1">
        <v>3.9046971563284698</v>
      </c>
      <c r="H29" s="1">
        <v>0</v>
      </c>
      <c r="I29" s="1">
        <v>-1.24967628442423</v>
      </c>
      <c r="J29" s="1">
        <v>1</v>
      </c>
      <c r="K29" s="1" t="s">
        <v>16</v>
      </c>
      <c r="L29" s="1">
        <v>1</v>
      </c>
      <c r="M29" s="1" t="s">
        <v>17</v>
      </c>
      <c r="N29" s="3" t="s">
        <v>1140</v>
      </c>
      <c r="O29" s="1"/>
    </row>
    <row r="30" spans="1:15" x14ac:dyDescent="0.25">
      <c r="A30" s="2" t="s">
        <v>515</v>
      </c>
      <c r="B30" s="1" t="s">
        <v>312</v>
      </c>
      <c r="C30" s="1" t="s">
        <v>516</v>
      </c>
      <c r="D30" s="1" t="s">
        <v>1364</v>
      </c>
      <c r="E30" s="1" t="str">
        <f>VLOOKUP(Table1[[#This Row],[Navn DK]],product_nodes_new_id!A:B,2,FALSE)</f>
        <v>e2535ae5-a48d-57b3-a6fa-96fba179c190</v>
      </c>
      <c r="F30" s="1">
        <v>7.7477221962218596</v>
      </c>
      <c r="G30" s="1">
        <v>3.02233027444283</v>
      </c>
      <c r="H30" s="1">
        <v>0</v>
      </c>
      <c r="I30" s="1">
        <v>-2.3680764915546999</v>
      </c>
      <c r="J30" s="1">
        <v>1</v>
      </c>
      <c r="K30" s="1" t="s">
        <v>16</v>
      </c>
      <c r="L30" s="1">
        <v>1</v>
      </c>
      <c r="M30" s="1" t="s">
        <v>17</v>
      </c>
      <c r="N30" s="3" t="s">
        <v>1178</v>
      </c>
      <c r="O30" s="1"/>
    </row>
    <row r="31" spans="1:15" x14ac:dyDescent="0.25">
      <c r="A31" s="2" t="s">
        <v>399</v>
      </c>
      <c r="B31" s="1" t="s">
        <v>312</v>
      </c>
      <c r="C31" s="1" t="s">
        <v>400</v>
      </c>
      <c r="D31" s="1" t="s">
        <v>1366</v>
      </c>
      <c r="E31" s="1" t="str">
        <f>VLOOKUP(Table1[[#This Row],[Navn DK]],product_nodes_new_id!A:B,2,FALSE)</f>
        <v>6b327cc9-655c-5660-91c6-ecd817a252ee</v>
      </c>
      <c r="F31" s="1">
        <v>3.7030060887859002</v>
      </c>
      <c r="G31" s="1">
        <v>0</v>
      </c>
      <c r="H31" s="1">
        <v>0</v>
      </c>
      <c r="I31" s="1">
        <v>-1.34842900274982</v>
      </c>
      <c r="J31" s="1">
        <v>1</v>
      </c>
      <c r="K31" s="1" t="s">
        <v>16</v>
      </c>
      <c r="L31" s="1">
        <v>7850</v>
      </c>
      <c r="M31" s="1" t="s">
        <v>65</v>
      </c>
      <c r="N31" s="3" t="s">
        <v>401</v>
      </c>
      <c r="O31" s="1"/>
    </row>
    <row r="32" spans="1:15" x14ac:dyDescent="0.25">
      <c r="A32" s="2" t="s">
        <v>453</v>
      </c>
      <c r="B32" s="1" t="s">
        <v>312</v>
      </c>
      <c r="C32" s="1" t="s">
        <v>454</v>
      </c>
      <c r="D32" s="1" t="s">
        <v>1368</v>
      </c>
      <c r="E32" s="1" t="str">
        <f>VLOOKUP(Table1[[#This Row],[Navn DK]],product_nodes_new_id!A:B,2,FALSE)</f>
        <v>c08d0cb3-fbf9-5f85-bada-d22d3e534c7a</v>
      </c>
      <c r="F32" s="1">
        <v>3.99668740796676</v>
      </c>
      <c r="G32" s="1">
        <v>0.57234102612517401</v>
      </c>
      <c r="H32" s="1">
        <v>8.8005176482234605E-4</v>
      </c>
      <c r="I32" s="1">
        <v>-1.0611539493058899</v>
      </c>
      <c r="J32" s="1">
        <v>1</v>
      </c>
      <c r="K32" s="1" t="s">
        <v>16</v>
      </c>
      <c r="L32" s="1">
        <v>1</v>
      </c>
      <c r="M32" s="1" t="s">
        <v>17</v>
      </c>
      <c r="N32" s="3" t="s">
        <v>1153</v>
      </c>
      <c r="O32" s="1"/>
    </row>
    <row r="33" spans="1:15" x14ac:dyDescent="0.25">
      <c r="A33" s="2" t="s">
        <v>361</v>
      </c>
      <c r="B33" s="1" t="s">
        <v>312</v>
      </c>
      <c r="C33" s="1" t="s">
        <v>362</v>
      </c>
      <c r="D33" s="1" t="s">
        <v>1370</v>
      </c>
      <c r="E33" s="1" t="str">
        <f>VLOOKUP(Table1[[#This Row],[Navn DK]],product_nodes_new_id!A:B,2,FALSE)</f>
        <v>5adf7188-99b8-56d9-b13c-d875643be861</v>
      </c>
      <c r="F33" s="1">
        <v>2.9953227520113002</v>
      </c>
      <c r="G33" s="1">
        <v>0.57234102612517401</v>
      </c>
      <c r="H33" s="1">
        <v>8.8005176482234605E-4</v>
      </c>
      <c r="I33" s="1">
        <v>-1.1553203464410999</v>
      </c>
      <c r="J33" s="1">
        <v>1</v>
      </c>
      <c r="K33" s="1" t="s">
        <v>16</v>
      </c>
      <c r="L33" s="1">
        <v>1</v>
      </c>
      <c r="M33" s="1" t="s">
        <v>17</v>
      </c>
      <c r="N33" s="3" t="s">
        <v>1124</v>
      </c>
      <c r="O33" s="1"/>
    </row>
    <row r="34" spans="1:15" x14ac:dyDescent="0.25">
      <c r="A34" s="2" t="s">
        <v>609</v>
      </c>
      <c r="B34" s="1" t="s">
        <v>312</v>
      </c>
      <c r="C34" s="1" t="s">
        <v>610</v>
      </c>
      <c r="D34" s="1" t="s">
        <v>1372</v>
      </c>
      <c r="E34" s="1" t="str">
        <f>VLOOKUP(Table1[[#This Row],[Navn DK]],product_nodes_new_id!A:B,2,FALSE)</f>
        <v>e986e730-39ca-5717-8765-793b73fd4f40</v>
      </c>
      <c r="F34" s="1">
        <v>-8.6348589471658105E-2</v>
      </c>
      <c r="G34" s="1">
        <v>0.121911106445072</v>
      </c>
      <c r="H34" s="1">
        <v>0</v>
      </c>
      <c r="I34" s="1">
        <v>-3.4188142256142202E-2</v>
      </c>
      <c r="J34" s="1">
        <v>1</v>
      </c>
      <c r="K34" s="1" t="s">
        <v>1272</v>
      </c>
      <c r="L34" s="1">
        <v>0.08</v>
      </c>
      <c r="M34" s="1" t="s">
        <v>23</v>
      </c>
      <c r="N34" s="3" t="s">
        <v>1196</v>
      </c>
      <c r="O34" s="1"/>
    </row>
    <row r="35" spans="1:15" x14ac:dyDescent="0.25">
      <c r="A35" s="2" t="s">
        <v>336</v>
      </c>
      <c r="B35" s="1" t="s">
        <v>312</v>
      </c>
      <c r="C35" s="1" t="s">
        <v>337</v>
      </c>
      <c r="D35" s="1" t="s">
        <v>2193</v>
      </c>
      <c r="E35" s="1" t="str">
        <f>VLOOKUP(Table1[[#This Row],[Navn DK]],product_nodes_new_id!A:B,2,FALSE)</f>
        <v>8ff548d6-9c02-5f72-ac8d-74349e17b6a2</v>
      </c>
      <c r="F35" s="1">
        <v>7.9779798991164705E-2</v>
      </c>
      <c r="G35" s="1">
        <v>0</v>
      </c>
      <c r="H35" s="1">
        <v>0</v>
      </c>
      <c r="I35" s="1">
        <v>-1.70095082391599E-2</v>
      </c>
      <c r="J35" s="1">
        <v>1</v>
      </c>
      <c r="K35" s="1" t="s">
        <v>16</v>
      </c>
      <c r="L35" s="1">
        <v>1</v>
      </c>
      <c r="M35" s="1" t="s">
        <v>17</v>
      </c>
      <c r="N35" s="3" t="s">
        <v>1119</v>
      </c>
      <c r="O35" s="1"/>
    </row>
    <row r="36" spans="1:15" x14ac:dyDescent="0.25">
      <c r="A36" s="2" t="s">
        <v>315</v>
      </c>
      <c r="B36" s="1" t="s">
        <v>312</v>
      </c>
      <c r="C36" s="1" t="s">
        <v>316</v>
      </c>
      <c r="D36" s="1" t="s">
        <v>1377</v>
      </c>
      <c r="E36" s="1" t="str">
        <f>VLOOKUP(Table1[[#This Row],[Navn DK]],product_nodes_new_id!A:B,2,FALSE)</f>
        <v>e662f0b8-9a21-57ca-8e98-642d3dc20436</v>
      </c>
      <c r="F36" s="1">
        <v>1.43</v>
      </c>
      <c r="G36" s="1">
        <v>2.4099999999999998E-3</v>
      </c>
      <c r="H36" s="1">
        <v>1.5299999999999999E-2</v>
      </c>
      <c r="I36" s="1">
        <v>-0.17730000000000001</v>
      </c>
      <c r="J36" s="1">
        <v>1</v>
      </c>
      <c r="K36" s="1" t="s">
        <v>16</v>
      </c>
      <c r="L36" s="1">
        <v>115</v>
      </c>
      <c r="M36" s="1" t="s">
        <v>65</v>
      </c>
      <c r="N36" s="15" t="s">
        <v>317</v>
      </c>
      <c r="O36" s="1"/>
    </row>
    <row r="37" spans="1:15" x14ac:dyDescent="0.25">
      <c r="A37" s="2" t="s">
        <v>297</v>
      </c>
      <c r="B37" s="1" t="s">
        <v>126</v>
      </c>
      <c r="C37" s="1" t="s">
        <v>21</v>
      </c>
      <c r="D37" s="1" t="s">
        <v>298</v>
      </c>
      <c r="E37" s="1" t="s">
        <v>1382</v>
      </c>
      <c r="F37" s="1">
        <v>1017.5000000000001</v>
      </c>
      <c r="G37" s="1">
        <v>0</v>
      </c>
      <c r="H37" s="1">
        <v>0</v>
      </c>
      <c r="I37" s="1">
        <v>0</v>
      </c>
      <c r="J37" s="1">
        <v>1</v>
      </c>
      <c r="K37" s="1" t="s">
        <v>283</v>
      </c>
      <c r="L37" s="1">
        <v>3100</v>
      </c>
      <c r="M37" s="1" t="s">
        <v>65</v>
      </c>
      <c r="N37" s="3" t="s">
        <v>128</v>
      </c>
      <c r="O37" s="1"/>
    </row>
    <row r="38" spans="1:15" x14ac:dyDescent="0.25">
      <c r="A38" s="2" t="s">
        <v>299</v>
      </c>
      <c r="B38" s="1" t="s">
        <v>126</v>
      </c>
      <c r="C38" s="1" t="s">
        <v>21</v>
      </c>
      <c r="D38" s="1" t="s">
        <v>300</v>
      </c>
      <c r="E38" s="1" t="s">
        <v>1384</v>
      </c>
      <c r="F38" s="1">
        <v>1144</v>
      </c>
      <c r="G38" s="1">
        <v>0</v>
      </c>
      <c r="H38" s="1">
        <v>0</v>
      </c>
      <c r="I38" s="1">
        <v>0</v>
      </c>
      <c r="J38" s="1">
        <v>1</v>
      </c>
      <c r="K38" s="1" t="s">
        <v>283</v>
      </c>
      <c r="L38" s="1">
        <v>3100</v>
      </c>
      <c r="M38" s="1" t="s">
        <v>65</v>
      </c>
      <c r="N38" s="3" t="s">
        <v>128</v>
      </c>
      <c r="O38" s="1"/>
    </row>
    <row r="39" spans="1:15" x14ac:dyDescent="0.25">
      <c r="A39" s="2" t="s">
        <v>784</v>
      </c>
      <c r="B39" s="1" t="s">
        <v>312</v>
      </c>
      <c r="C39" s="1" t="s">
        <v>785</v>
      </c>
      <c r="D39" s="1" t="s">
        <v>1397</v>
      </c>
      <c r="E39" s="1" t="str">
        <f>VLOOKUP(Table1[[#This Row],[Navn DK]],product_nodes_new_id!A:B,2,FALSE)</f>
        <v>d762565c-224a-5689-a76b-0ae8b18a50aa</v>
      </c>
      <c r="F39" s="1">
        <v>1721.44981998355</v>
      </c>
      <c r="G39" s="1">
        <v>233.13469258466901</v>
      </c>
      <c r="H39" s="1">
        <v>0</v>
      </c>
      <c r="I39" s="1">
        <v>-64.957470286670102</v>
      </c>
      <c r="J39" s="1">
        <v>1</v>
      </c>
      <c r="K39" s="1" t="s">
        <v>1274</v>
      </c>
      <c r="L39" s="1">
        <v>1200</v>
      </c>
      <c r="M39" s="1" t="s">
        <v>65</v>
      </c>
      <c r="N39" s="3" t="s">
        <v>786</v>
      </c>
      <c r="O39" s="1"/>
    </row>
    <row r="40" spans="1:15" x14ac:dyDescent="0.25">
      <c r="A40" s="2" t="s">
        <v>976</v>
      </c>
      <c r="B40" s="1" t="s">
        <v>312</v>
      </c>
      <c r="C40" s="1" t="s">
        <v>977</v>
      </c>
      <c r="D40" s="1" t="s">
        <v>1399</v>
      </c>
      <c r="E40" s="1" t="str">
        <f>VLOOKUP(Table1[[#This Row],[Navn DK]],product_nodes_new_id!A:B,2,FALSE)</f>
        <v>08e14bb3-573d-5255-adc9-4bf230556711</v>
      </c>
      <c r="F40" s="1">
        <v>124.43216382542801</v>
      </c>
      <c r="G40" s="1">
        <v>4.2647457462252003</v>
      </c>
      <c r="H40" s="1">
        <v>0.30354955281284202</v>
      </c>
      <c r="I40" s="1">
        <v>-20.398001807083102</v>
      </c>
      <c r="J40" s="1">
        <v>1</v>
      </c>
      <c r="K40" s="1" t="s">
        <v>119</v>
      </c>
      <c r="L40" s="1">
        <v>24.7</v>
      </c>
      <c r="M40" s="1" t="s">
        <v>120</v>
      </c>
      <c r="N40" s="3" t="s">
        <v>978</v>
      </c>
      <c r="O40" s="1"/>
    </row>
    <row r="41" spans="1:15" x14ac:dyDescent="0.25">
      <c r="A41" s="2" t="s">
        <v>1003</v>
      </c>
      <c r="B41" s="1" t="s">
        <v>312</v>
      </c>
      <c r="C41" s="1" t="s">
        <v>1004</v>
      </c>
      <c r="D41" s="1" t="s">
        <v>1401</v>
      </c>
      <c r="E41" s="1" t="str">
        <f>VLOOKUP(Table1[[#This Row],[Navn DK]],product_nodes_new_id!A:B,2,FALSE)</f>
        <v>3b7011ba-8153-59b6-8729-deb3114c0a44</v>
      </c>
      <c r="F41" s="1">
        <v>24.886432765085502</v>
      </c>
      <c r="G41" s="1">
        <v>0.85294914924503995</v>
      </c>
      <c r="H41" s="1">
        <v>6.0709910562568498E-2</v>
      </c>
      <c r="I41" s="1">
        <v>-4.0796003614166203</v>
      </c>
      <c r="J41" s="1">
        <v>1</v>
      </c>
      <c r="K41" s="1" t="s">
        <v>119</v>
      </c>
      <c r="L41" s="1">
        <v>4.9400000000000004</v>
      </c>
      <c r="M41" s="1" t="s">
        <v>120</v>
      </c>
      <c r="N41" s="3" t="s">
        <v>1005</v>
      </c>
      <c r="O41" s="1"/>
    </row>
    <row r="42" spans="1:15" x14ac:dyDescent="0.25">
      <c r="A42" s="2" t="s">
        <v>13</v>
      </c>
      <c r="B42" s="1" t="s">
        <v>14</v>
      </c>
      <c r="C42" s="1" t="s">
        <v>15</v>
      </c>
      <c r="D42" s="1" t="s">
        <v>2156</v>
      </c>
      <c r="E42" s="1" t="str">
        <f>VLOOKUP(Table1[[#This Row],[Navn DK]],product_nodes_new_id!A:B,2,FALSE)</f>
        <v>6099aa35-8e86-589f-a9f1-fd92a6bdbeb7</v>
      </c>
      <c r="F42" s="1">
        <v>3.82</v>
      </c>
      <c r="G42" s="1">
        <v>5.3499999999999999E-2</v>
      </c>
      <c r="H42" s="1">
        <v>1.1999999999999999E-3</v>
      </c>
      <c r="I42" s="1">
        <v>-1.49</v>
      </c>
      <c r="J42" s="1">
        <v>1</v>
      </c>
      <c r="K42" s="1" t="s">
        <v>16</v>
      </c>
      <c r="L42" s="1">
        <v>1</v>
      </c>
      <c r="M42" s="1" t="s">
        <v>17</v>
      </c>
      <c r="N42" s="3" t="s">
        <v>18</v>
      </c>
      <c r="O42" s="1"/>
    </row>
    <row r="43" spans="1:15" x14ac:dyDescent="0.25">
      <c r="A43" s="2" t="s">
        <v>554</v>
      </c>
      <c r="B43" s="1" t="s">
        <v>312</v>
      </c>
      <c r="C43" s="1" t="s">
        <v>555</v>
      </c>
      <c r="D43" s="1" t="s">
        <v>1375</v>
      </c>
      <c r="E43" s="1" t="str">
        <f>VLOOKUP(Table1[[#This Row],[Navn DK]],product_nodes_new_id!A:B,2,FALSE)</f>
        <v>0a10b816-3378-5fec-b7c2-89ff0cdf08fb</v>
      </c>
      <c r="F43" s="1">
        <v>1.0555886361086999</v>
      </c>
      <c r="G43" s="1">
        <v>0.55477391883946903</v>
      </c>
      <c r="H43" s="1">
        <v>0</v>
      </c>
      <c r="I43" s="1">
        <v>-0.19619497575589201</v>
      </c>
      <c r="J43" s="1">
        <v>1</v>
      </c>
      <c r="K43" s="1" t="s">
        <v>151</v>
      </c>
      <c r="L43" s="1">
        <v>0.18</v>
      </c>
      <c r="M43" s="1" t="s">
        <v>152</v>
      </c>
      <c r="N43" s="3" t="s">
        <v>1189</v>
      </c>
      <c r="O43" s="1"/>
    </row>
    <row r="44" spans="1:15" x14ac:dyDescent="0.25">
      <c r="A44" s="2" t="s">
        <v>689</v>
      </c>
      <c r="B44" s="1" t="s">
        <v>312</v>
      </c>
      <c r="C44" s="1" t="s">
        <v>690</v>
      </c>
      <c r="D44" s="1" t="s">
        <v>1405</v>
      </c>
      <c r="E44" s="1" t="str">
        <f>VLOOKUP(Table1[[#This Row],[Navn DK]],product_nodes_new_id!A:B,2,FALSE)</f>
        <v>6d1ae546-d4e4-5408-9a60-c00fe201f9ae</v>
      </c>
      <c r="F44" s="1">
        <v>119.982477276482</v>
      </c>
      <c r="G44" s="1">
        <v>6.2130038660793696</v>
      </c>
      <c r="H44" s="1">
        <v>0.450596485309465</v>
      </c>
      <c r="I44" s="1">
        <v>-33.448274852937701</v>
      </c>
      <c r="J44" s="1">
        <v>1</v>
      </c>
      <c r="K44" s="1" t="s">
        <v>1272</v>
      </c>
      <c r="L44" s="1">
        <v>16.5</v>
      </c>
      <c r="M44" s="1" t="s">
        <v>23</v>
      </c>
      <c r="N44" s="3" t="s">
        <v>691</v>
      </c>
      <c r="O44" s="1"/>
    </row>
    <row r="45" spans="1:15" x14ac:dyDescent="0.25">
      <c r="A45" s="2" t="s">
        <v>716</v>
      </c>
      <c r="B45" s="1" t="s">
        <v>312</v>
      </c>
      <c r="C45" s="1" t="s">
        <v>717</v>
      </c>
      <c r="D45" s="1" t="s">
        <v>1407</v>
      </c>
      <c r="E45" s="1" t="str">
        <f>VLOOKUP(Table1[[#This Row],[Navn DK]],product_nodes_new_id!A:B,2,FALSE)</f>
        <v>d2cad8c6-0489-5911-a693-8c3eef18474c</v>
      </c>
      <c r="F45" s="1">
        <v>95.928580726174204</v>
      </c>
      <c r="G45" s="1">
        <v>6.2130038660793696</v>
      </c>
      <c r="H45" s="1">
        <v>0.450596485309465</v>
      </c>
      <c r="I45" s="1">
        <v>-13.954595478758501</v>
      </c>
      <c r="J45" s="1">
        <v>1</v>
      </c>
      <c r="K45" s="1" t="s">
        <v>1272</v>
      </c>
      <c r="L45" s="1">
        <v>21.4</v>
      </c>
      <c r="M45" s="1" t="s">
        <v>23</v>
      </c>
      <c r="N45" s="15" t="s">
        <v>718</v>
      </c>
      <c r="O45" s="1"/>
    </row>
    <row r="46" spans="1:15" x14ac:dyDescent="0.25">
      <c r="A46" s="2" t="s">
        <v>585</v>
      </c>
      <c r="B46" s="1" t="s">
        <v>312</v>
      </c>
      <c r="C46" s="1" t="s">
        <v>586</v>
      </c>
      <c r="D46" s="1" t="s">
        <v>1409</v>
      </c>
      <c r="E46" s="1" t="str">
        <f>VLOOKUP(Table1[[#This Row],[Navn DK]],product_nodes_new_id!A:B,2,FALSE)</f>
        <v>f0b3b24d-f691-5512-b1d2-41b76758c282</v>
      </c>
      <c r="F46" s="1">
        <v>54.663009741186997</v>
      </c>
      <c r="G46" s="1">
        <v>3.4269034777029699</v>
      </c>
      <c r="H46" s="1">
        <v>0</v>
      </c>
      <c r="I46" s="1">
        <v>-32.4801285174144</v>
      </c>
      <c r="J46" s="1">
        <v>1</v>
      </c>
      <c r="K46" s="1" t="s">
        <v>151</v>
      </c>
      <c r="L46" s="1">
        <v>5.7</v>
      </c>
      <c r="M46" s="1" t="s">
        <v>152</v>
      </c>
      <c r="N46" s="3" t="s">
        <v>587</v>
      </c>
      <c r="O46" s="1"/>
    </row>
    <row r="47" spans="1:15" x14ac:dyDescent="0.25">
      <c r="A47" s="2" t="s">
        <v>590</v>
      </c>
      <c r="B47" s="1" t="s">
        <v>312</v>
      </c>
      <c r="C47" s="1" t="s">
        <v>591</v>
      </c>
      <c r="D47" s="1" t="s">
        <v>1411</v>
      </c>
      <c r="E47" s="1" t="str">
        <f>VLOOKUP(Table1[[#This Row],[Navn DK]],product_nodes_new_id!A:B,2,FALSE)</f>
        <v>9361290b-5650-5d0f-81fe-9ed2c487720c</v>
      </c>
      <c r="F47" s="1">
        <v>36.147057248384002</v>
      </c>
      <c r="G47" s="1">
        <v>3.4269034777029699</v>
      </c>
      <c r="H47" s="1">
        <v>0</v>
      </c>
      <c r="I47" s="1">
        <v>-13.7156997862362</v>
      </c>
      <c r="J47" s="1">
        <v>1</v>
      </c>
      <c r="K47" s="1" t="s">
        <v>151</v>
      </c>
      <c r="L47" s="1">
        <v>9.48</v>
      </c>
      <c r="M47" s="1" t="s">
        <v>152</v>
      </c>
      <c r="N47" s="3" t="s">
        <v>1195</v>
      </c>
      <c r="O47" s="1"/>
    </row>
    <row r="48" spans="1:15" x14ac:dyDescent="0.25">
      <c r="A48" s="2" t="s">
        <v>611</v>
      </c>
      <c r="B48" s="1" t="s">
        <v>312</v>
      </c>
      <c r="C48" s="1" t="s">
        <v>612</v>
      </c>
      <c r="D48" s="1" t="s">
        <v>1413</v>
      </c>
      <c r="E48" s="1" t="str">
        <f>VLOOKUP(Table1[[#This Row],[Navn DK]],product_nodes_new_id!A:B,2,FALSE)</f>
        <v>7f104e91-a828-5cfa-b201-5f2606fdebb8</v>
      </c>
      <c r="F48" s="1">
        <v>0.57121483541046603</v>
      </c>
      <c r="G48" s="1">
        <v>0.21953792306091599</v>
      </c>
      <c r="H48" s="1">
        <v>0</v>
      </c>
      <c r="I48" s="1">
        <v>-6.2543273331798696E-2</v>
      </c>
      <c r="J48" s="1">
        <v>1</v>
      </c>
      <c r="K48" s="1" t="s">
        <v>1272</v>
      </c>
      <c r="L48" s="1">
        <v>0.08</v>
      </c>
      <c r="M48" s="1" t="s">
        <v>23</v>
      </c>
      <c r="N48" s="3" t="s">
        <v>1197</v>
      </c>
      <c r="O48" s="1"/>
    </row>
    <row r="49" spans="1:15" x14ac:dyDescent="0.25">
      <c r="A49" s="2" t="s">
        <v>626</v>
      </c>
      <c r="B49" s="1" t="s">
        <v>312</v>
      </c>
      <c r="C49" s="1" t="s">
        <v>627</v>
      </c>
      <c r="D49" s="1" t="s">
        <v>1415</v>
      </c>
      <c r="E49" s="1" t="str">
        <f>VLOOKUP(Table1[[#This Row],[Navn DK]],product_nodes_new_id!A:B,2,FALSE)</f>
        <v>e404aab3-95b9-5cf1-819c-6812b9f536eb</v>
      </c>
      <c r="F49" s="1">
        <v>0.39508174607608498</v>
      </c>
      <c r="G49" s="1">
        <v>0.55559660783366105</v>
      </c>
      <c r="H49" s="1">
        <v>0</v>
      </c>
      <c r="I49" s="1">
        <v>-0.22959480803490501</v>
      </c>
      <c r="J49" s="1">
        <v>1</v>
      </c>
      <c r="K49" s="1" t="s">
        <v>1272</v>
      </c>
      <c r="L49" s="1">
        <v>0.2</v>
      </c>
      <c r="M49" s="1" t="s">
        <v>23</v>
      </c>
      <c r="N49" s="3" t="s">
        <v>628</v>
      </c>
      <c r="O49" s="1"/>
    </row>
    <row r="50" spans="1:15" x14ac:dyDescent="0.25">
      <c r="A50" s="2" t="s">
        <v>741</v>
      </c>
      <c r="B50" s="1" t="s">
        <v>312</v>
      </c>
      <c r="C50" s="1" t="s">
        <v>742</v>
      </c>
      <c r="D50" s="1" t="s">
        <v>1417</v>
      </c>
      <c r="E50" s="1" t="str">
        <f>VLOOKUP(Table1[[#This Row],[Navn DK]],product_nodes_new_id!A:B,2,FALSE)</f>
        <v>f383c98c-ad3d-5f86-b0fe-f6684aa90dcf</v>
      </c>
      <c r="F50" s="1">
        <v>2.2315455775722199</v>
      </c>
      <c r="G50" s="1">
        <v>0</v>
      </c>
      <c r="H50" s="1">
        <v>0.42153814208020302</v>
      </c>
      <c r="I50" s="1">
        <v>0</v>
      </c>
      <c r="J50" s="1">
        <v>0.999999999999998</v>
      </c>
      <c r="K50" s="1" t="s">
        <v>1272</v>
      </c>
      <c r="L50" s="1">
        <v>5</v>
      </c>
      <c r="M50" s="1" t="s">
        <v>23</v>
      </c>
      <c r="N50" s="3" t="s">
        <v>743</v>
      </c>
      <c r="O50" s="1"/>
    </row>
    <row r="51" spans="1:15" x14ac:dyDescent="0.25">
      <c r="A51" s="2" t="s">
        <v>458</v>
      </c>
      <c r="B51" s="1" t="s">
        <v>312</v>
      </c>
      <c r="C51" s="1" t="s">
        <v>459</v>
      </c>
      <c r="D51" s="1" t="s">
        <v>1423</v>
      </c>
      <c r="E51" s="1" t="str">
        <f>VLOOKUP(Table1[[#This Row],[Navn DK]],product_nodes_new_id!A:B,2,FALSE)</f>
        <v>f030bc0a-3b66-5b31-9d30-3c9ce3473891</v>
      </c>
      <c r="F51" s="1">
        <v>4.8267612519758396</v>
      </c>
      <c r="G51" s="1">
        <v>0</v>
      </c>
      <c r="H51" s="1">
        <v>0</v>
      </c>
      <c r="I51" s="1">
        <v>-3.9977773578848099</v>
      </c>
      <c r="J51" s="1">
        <v>1</v>
      </c>
      <c r="K51" s="1" t="s">
        <v>16</v>
      </c>
      <c r="L51" s="1">
        <v>1</v>
      </c>
      <c r="M51" s="1" t="s">
        <v>17</v>
      </c>
      <c r="N51" s="3" t="s">
        <v>1154</v>
      </c>
      <c r="O51" s="1"/>
    </row>
    <row r="52" spans="1:15" x14ac:dyDescent="0.25">
      <c r="A52" s="2" t="s">
        <v>898</v>
      </c>
      <c r="B52" s="1" t="s">
        <v>312</v>
      </c>
      <c r="C52" s="1" t="s">
        <v>899</v>
      </c>
      <c r="D52" s="1" t="s">
        <v>1437</v>
      </c>
      <c r="E52" s="1" t="str">
        <f>VLOOKUP(Table1[[#This Row],[Navn DK]],product_nodes_new_id!A:B,2,FALSE)</f>
        <v>3f747cdc-31af-55a6-a5d1-91c21afa7fba</v>
      </c>
      <c r="F52" s="1">
        <v>255.7</v>
      </c>
      <c r="G52" s="1">
        <v>0</v>
      </c>
      <c r="H52" s="1">
        <v>0.224</v>
      </c>
      <c r="I52" s="1">
        <v>103</v>
      </c>
      <c r="J52" s="1">
        <v>1</v>
      </c>
      <c r="K52" s="1" t="s">
        <v>119</v>
      </c>
      <c r="L52" s="1">
        <v>73.046000000000006</v>
      </c>
      <c r="M52" s="1" t="s">
        <v>120</v>
      </c>
      <c r="N52" s="3" t="s">
        <v>900</v>
      </c>
      <c r="O52" s="1"/>
    </row>
    <row r="53" spans="1:15" x14ac:dyDescent="0.25">
      <c r="A53" s="2" t="s">
        <v>701</v>
      </c>
      <c r="B53" s="1" t="s">
        <v>312</v>
      </c>
      <c r="C53" s="1" t="s">
        <v>702</v>
      </c>
      <c r="D53" s="1" t="s">
        <v>1439</v>
      </c>
      <c r="E53" s="1" t="str">
        <f>VLOOKUP(Table1[[#This Row],[Navn DK]],product_nodes_new_id!A:B,2,FALSE)</f>
        <v>1c8c3e9c-543f-525c-8148-269285dc7619</v>
      </c>
      <c r="F53" s="1">
        <v>7.4636449639169902</v>
      </c>
      <c r="G53" s="1">
        <v>7.05129294606835</v>
      </c>
      <c r="H53" s="1">
        <v>0</v>
      </c>
      <c r="I53" s="1">
        <v>-2.06065821617914</v>
      </c>
      <c r="J53" s="1">
        <v>1</v>
      </c>
      <c r="K53" s="1" t="s">
        <v>1272</v>
      </c>
      <c r="L53" s="1">
        <v>2.3199999999999998</v>
      </c>
      <c r="M53" s="1" t="s">
        <v>23</v>
      </c>
      <c r="N53" s="3" t="s">
        <v>1212</v>
      </c>
      <c r="O53" s="1"/>
    </row>
    <row r="54" spans="1:15" x14ac:dyDescent="0.25">
      <c r="A54" s="2" t="s">
        <v>447</v>
      </c>
      <c r="B54" s="1" t="s">
        <v>312</v>
      </c>
      <c r="C54" s="1" t="s">
        <v>448</v>
      </c>
      <c r="D54" s="1" t="s">
        <v>1473</v>
      </c>
      <c r="E54" s="1" t="str">
        <f>VLOOKUP(Table1[[#This Row],[Navn DK]],product_nodes_new_id!A:B,2,FALSE)</f>
        <v>9da9a1b5-6a48-5297-ba5c-135e949e404e</v>
      </c>
      <c r="F54" s="1">
        <v>0.65990251810054801</v>
      </c>
      <c r="G54" s="1">
        <v>0</v>
      </c>
      <c r="H54" s="1">
        <v>0</v>
      </c>
      <c r="I54" s="1">
        <v>0</v>
      </c>
      <c r="J54" s="1">
        <v>1</v>
      </c>
      <c r="K54" s="1" t="s">
        <v>16</v>
      </c>
      <c r="L54" s="1">
        <v>1</v>
      </c>
      <c r="M54" s="1" t="s">
        <v>17</v>
      </c>
      <c r="N54" s="3" t="s">
        <v>449</v>
      </c>
      <c r="O54" s="1"/>
    </row>
    <row r="55" spans="1:15" x14ac:dyDescent="0.25">
      <c r="A55" s="2" t="s">
        <v>356</v>
      </c>
      <c r="B55" s="1" t="s">
        <v>312</v>
      </c>
      <c r="C55" s="1" t="s">
        <v>357</v>
      </c>
      <c r="D55" s="1" t="s">
        <v>1475</v>
      </c>
      <c r="E55" s="1" t="str">
        <f>VLOOKUP(Table1[[#This Row],[Navn DK]],product_nodes_new_id!A:B,2,FALSE)</f>
        <v>04f8e47f-8f98-5c19-b4bd-1ce309cd3b82</v>
      </c>
      <c r="F55" s="1">
        <v>0.367582697481523</v>
      </c>
      <c r="G55" s="1">
        <v>0</v>
      </c>
      <c r="H55" s="1">
        <v>0</v>
      </c>
      <c r="I55" s="1">
        <v>0</v>
      </c>
      <c r="J55" s="1">
        <v>1</v>
      </c>
      <c r="K55" s="1" t="s">
        <v>16</v>
      </c>
      <c r="L55" s="1">
        <v>600</v>
      </c>
      <c r="M55" s="1" t="s">
        <v>65</v>
      </c>
      <c r="N55" s="3" t="s">
        <v>358</v>
      </c>
      <c r="O55" s="1"/>
    </row>
    <row r="56" spans="1:15" x14ac:dyDescent="0.25">
      <c r="A56" s="2" t="s">
        <v>948</v>
      </c>
      <c r="B56" s="1" t="s">
        <v>312</v>
      </c>
      <c r="C56" s="1" t="s">
        <v>949</v>
      </c>
      <c r="D56" s="1" t="s">
        <v>1489</v>
      </c>
      <c r="E56" s="1" t="str">
        <f>VLOOKUP(Table1[[#This Row],[Navn DK]],product_nodes_new_id!A:B,2,FALSE)</f>
        <v>c8e2bff5-00d0-56c8-a619-a2af29870f04</v>
      </c>
      <c r="F56" s="1">
        <v>5073.7353712319</v>
      </c>
      <c r="G56" s="1">
        <v>24.2059532735116</v>
      </c>
      <c r="H56" s="1">
        <v>11.1785370963966</v>
      </c>
      <c r="I56" s="1">
        <v>-1236.82678615859</v>
      </c>
      <c r="J56" s="1">
        <v>1</v>
      </c>
      <c r="K56" s="1" t="s">
        <v>119</v>
      </c>
      <c r="L56" s="1">
        <v>1603</v>
      </c>
      <c r="M56" s="1" t="s">
        <v>120</v>
      </c>
      <c r="N56" s="3" t="s">
        <v>950</v>
      </c>
      <c r="O56" s="1"/>
    </row>
    <row r="57" spans="1:15" x14ac:dyDescent="0.25">
      <c r="A57" s="2" t="s">
        <v>993</v>
      </c>
      <c r="B57" s="1" t="s">
        <v>312</v>
      </c>
      <c r="C57" s="1" t="s">
        <v>994</v>
      </c>
      <c r="D57" s="1" t="s">
        <v>1491</v>
      </c>
      <c r="E57" s="1" t="str">
        <f>VLOOKUP(Table1[[#This Row],[Navn DK]],product_nodes_new_id!A:B,2,FALSE)</f>
        <v>68dab19b-ae96-51a4-b4c1-1fcf137f4aa5</v>
      </c>
      <c r="F57" s="1">
        <v>988.76092829453</v>
      </c>
      <c r="G57" s="1">
        <v>0</v>
      </c>
      <c r="H57" s="1">
        <v>0.31807494723385898</v>
      </c>
      <c r="I57" s="1">
        <v>-379.037807307474</v>
      </c>
      <c r="J57" s="1">
        <v>1</v>
      </c>
      <c r="K57" s="1" t="s">
        <v>119</v>
      </c>
      <c r="L57" s="1">
        <v>333</v>
      </c>
      <c r="M57" s="1" t="s">
        <v>120</v>
      </c>
      <c r="N57" s="3" t="s">
        <v>995</v>
      </c>
      <c r="O57" s="1"/>
    </row>
    <row r="58" spans="1:15" x14ac:dyDescent="0.25">
      <c r="A58" s="2" t="s">
        <v>933</v>
      </c>
      <c r="B58" s="1" t="s">
        <v>312</v>
      </c>
      <c r="C58" s="1" t="s">
        <v>934</v>
      </c>
      <c r="D58" s="1" t="s">
        <v>1477</v>
      </c>
      <c r="E58" s="1" t="str">
        <f>VLOOKUP(Table1[[#This Row],[Navn DK]],product_nodes_new_id!A:B,2,FALSE)</f>
        <v>6fe044ad-02e2-5ee8-9219-eece44bd9c02</v>
      </c>
      <c r="F58" s="1">
        <v>336.73146416672398</v>
      </c>
      <c r="G58" s="1">
        <v>4.2819300051919802</v>
      </c>
      <c r="H58" s="1">
        <v>0.11905403775171</v>
      </c>
      <c r="I58" s="1">
        <v>-128.27195095403701</v>
      </c>
      <c r="J58" s="1">
        <v>1</v>
      </c>
      <c r="K58" s="1" t="s">
        <v>119</v>
      </c>
      <c r="L58" s="1">
        <v>139</v>
      </c>
      <c r="M58" s="1" t="s">
        <v>120</v>
      </c>
      <c r="N58" s="3" t="s">
        <v>935</v>
      </c>
      <c r="O58" s="1"/>
    </row>
    <row r="59" spans="1:15" x14ac:dyDescent="0.25">
      <c r="A59" s="2" t="s">
        <v>942</v>
      </c>
      <c r="B59" s="1" t="s">
        <v>312</v>
      </c>
      <c r="C59" s="1" t="s">
        <v>943</v>
      </c>
      <c r="D59" s="1" t="s">
        <v>1479</v>
      </c>
      <c r="E59" s="1" t="str">
        <f>VLOOKUP(Table1[[#This Row],[Navn DK]],product_nodes_new_id!A:B,2,FALSE)</f>
        <v>8c5fb043-f1ed-5470-a283-75f95253e178</v>
      </c>
      <c r="F59" s="1">
        <v>1942.5484888021499</v>
      </c>
      <c r="G59" s="1">
        <v>4.2819300051919802</v>
      </c>
      <c r="H59" s="1">
        <v>0.11906195821759399</v>
      </c>
      <c r="I59" s="1">
        <v>-128.28384258649001</v>
      </c>
      <c r="J59" s="1">
        <v>1</v>
      </c>
      <c r="K59" s="1" t="s">
        <v>119</v>
      </c>
      <c r="L59" s="1">
        <v>1498</v>
      </c>
      <c r="M59" s="1" t="s">
        <v>120</v>
      </c>
      <c r="N59" s="3" t="s">
        <v>944</v>
      </c>
      <c r="O59" s="1"/>
    </row>
    <row r="60" spans="1:15" x14ac:dyDescent="0.25">
      <c r="A60" s="2" t="s">
        <v>845</v>
      </c>
      <c r="B60" s="1" t="s">
        <v>312</v>
      </c>
      <c r="C60" s="1" t="s">
        <v>846</v>
      </c>
      <c r="D60" s="1" t="s">
        <v>1441</v>
      </c>
      <c r="E60" s="1" t="str">
        <f>VLOOKUP(Table1[[#This Row],[Navn DK]],product_nodes_new_id!A:B,2,FALSE)</f>
        <v>b5f035fe-d671-5826-bbfd-95fe1607bff7</v>
      </c>
      <c r="F60" s="1">
        <v>231.751456510938</v>
      </c>
      <c r="G60" s="1">
        <v>137.84678371349301</v>
      </c>
      <c r="H60" s="1">
        <v>8.8510023900073606E-2</v>
      </c>
      <c r="I60" s="1">
        <v>-47.8066944877922</v>
      </c>
      <c r="J60" s="1">
        <v>1</v>
      </c>
      <c r="K60" s="1" t="s">
        <v>1274</v>
      </c>
      <c r="L60" s="1">
        <v>55</v>
      </c>
      <c r="M60" s="1" t="s">
        <v>65</v>
      </c>
      <c r="N60" s="3" t="s">
        <v>1239</v>
      </c>
      <c r="O60" s="1"/>
    </row>
    <row r="61" spans="1:15" x14ac:dyDescent="0.25">
      <c r="A61" s="2" t="s">
        <v>551</v>
      </c>
      <c r="B61" s="1" t="s">
        <v>312</v>
      </c>
      <c r="C61" s="1" t="s">
        <v>552</v>
      </c>
      <c r="D61" s="1" t="s">
        <v>1443</v>
      </c>
      <c r="E61" s="1" t="str">
        <f>VLOOKUP(Table1[[#This Row],[Navn DK]],product_nodes_new_id!A:B,2,FALSE)</f>
        <v>12fd2daa-3f6d-5070-9ea6-e038acf97450</v>
      </c>
      <c r="F61" s="1">
        <v>0.55722887127203802</v>
      </c>
      <c r="G61" s="1">
        <v>0.56459889255908702</v>
      </c>
      <c r="H61" s="1">
        <v>0.56434064231001702</v>
      </c>
      <c r="I61" s="1">
        <v>-0.46772944810348999</v>
      </c>
      <c r="J61" s="1">
        <v>1</v>
      </c>
      <c r="K61" s="1" t="s">
        <v>151</v>
      </c>
      <c r="L61" s="1">
        <v>0.18</v>
      </c>
      <c r="M61" s="1" t="s">
        <v>152</v>
      </c>
      <c r="N61" s="3" t="s">
        <v>553</v>
      </c>
      <c r="O61" s="1"/>
    </row>
    <row r="62" spans="1:15" x14ac:dyDescent="0.25">
      <c r="A62" s="2" t="s">
        <v>556</v>
      </c>
      <c r="B62" s="1" t="s">
        <v>312</v>
      </c>
      <c r="C62" s="1" t="s">
        <v>557</v>
      </c>
      <c r="D62" s="1" t="s">
        <v>1445</v>
      </c>
      <c r="E62" s="1" t="str">
        <f>VLOOKUP(Table1[[#This Row],[Navn DK]],product_nodes_new_id!A:B,2,FALSE)</f>
        <v>9b5eb347-b5ec-5967-bd4e-4155dc817849</v>
      </c>
      <c r="F62" s="1">
        <v>1.3311578591498701</v>
      </c>
      <c r="G62" s="1">
        <v>1.34876402111338</v>
      </c>
      <c r="H62" s="1">
        <v>1.3481470899628201</v>
      </c>
      <c r="I62" s="1">
        <v>-1.11735368158056</v>
      </c>
      <c r="J62" s="1">
        <v>1</v>
      </c>
      <c r="K62" s="1" t="s">
        <v>151</v>
      </c>
      <c r="L62" s="1">
        <v>0.43</v>
      </c>
      <c r="M62" s="1" t="s">
        <v>152</v>
      </c>
      <c r="N62" s="3" t="s">
        <v>1190</v>
      </c>
      <c r="O62" s="1"/>
    </row>
    <row r="63" spans="1:15" x14ac:dyDescent="0.25">
      <c r="A63" s="2" t="s">
        <v>137</v>
      </c>
      <c r="B63" s="1" t="s">
        <v>126</v>
      </c>
      <c r="C63" s="1" t="s">
        <v>21</v>
      </c>
      <c r="D63" s="1" t="s">
        <v>1619</v>
      </c>
      <c r="E63" s="1" t="str">
        <f>VLOOKUP(Table1[[#This Row],[Navn DK]],product_nodes_new_id!A:B,2,FALSE)</f>
        <v>94a52d61-411b-5bfb-a154-50bb6837335b</v>
      </c>
      <c r="F63" s="1">
        <v>6.391</v>
      </c>
      <c r="G63" s="1">
        <v>0.59070000000000011</v>
      </c>
      <c r="H63" s="1">
        <v>0</v>
      </c>
      <c r="I63" s="1">
        <v>-0.13500000000000001</v>
      </c>
      <c r="J63" s="1">
        <v>1</v>
      </c>
      <c r="K63" s="1" t="s">
        <v>16</v>
      </c>
      <c r="L63" s="1">
        <v>2.25</v>
      </c>
      <c r="M63" s="1" t="s">
        <v>138</v>
      </c>
      <c r="N63" s="3" t="s">
        <v>128</v>
      </c>
      <c r="O63" s="1"/>
    </row>
    <row r="64" spans="1:15" x14ac:dyDescent="0.25">
      <c r="A64" s="2" t="s">
        <v>205</v>
      </c>
      <c r="B64" s="1" t="s">
        <v>126</v>
      </c>
      <c r="C64" s="1" t="s">
        <v>21</v>
      </c>
      <c r="D64" s="21" t="s">
        <v>1447</v>
      </c>
      <c r="E64" s="1" t="str">
        <f>VLOOKUP(Table1[[#This Row],[Navn DK]],product_nodes_new_id!A:B,2,FALSE)</f>
        <v>8cb16eb5-c721-5de9-9d18-c1f931d07730</v>
      </c>
      <c r="F64" s="1">
        <v>0.86240000000000006</v>
      </c>
      <c r="G64" s="1">
        <v>1.3084</v>
      </c>
      <c r="H64" s="1">
        <v>2.3532000000000001E-5</v>
      </c>
      <c r="I64" s="1">
        <v>-0.35027999999999998</v>
      </c>
      <c r="J64" s="1">
        <v>1</v>
      </c>
      <c r="K64" s="1" t="s">
        <v>1273</v>
      </c>
      <c r="L64" s="1">
        <v>11.2</v>
      </c>
      <c r="M64" s="1" t="s">
        <v>65</v>
      </c>
      <c r="N64" s="3" t="s">
        <v>128</v>
      </c>
      <c r="O64" s="1"/>
    </row>
    <row r="65" spans="1:15" x14ac:dyDescent="0.25">
      <c r="A65" s="2" t="s">
        <v>206</v>
      </c>
      <c r="B65" s="1" t="s">
        <v>126</v>
      </c>
      <c r="C65" s="1" t="s">
        <v>21</v>
      </c>
      <c r="D65" s="21" t="s">
        <v>1449</v>
      </c>
      <c r="E65" s="1" t="str">
        <f>VLOOKUP(Table1[[#This Row],[Navn DK]],product_nodes_new_id!A:B,2,FALSE)</f>
        <v>530b131d-5f9a-5674-b6ef-5675e1f9f66f</v>
      </c>
      <c r="F65" s="1">
        <v>1.518</v>
      </c>
      <c r="G65" s="1">
        <v>1.5070000000000003</v>
      </c>
      <c r="H65" s="1">
        <v>2.7104000000000007E-5</v>
      </c>
      <c r="I65" s="1">
        <v>-4.1579999999999999E-2</v>
      </c>
      <c r="J65" s="1">
        <v>1</v>
      </c>
      <c r="K65" s="1" t="s">
        <v>1273</v>
      </c>
      <c r="L65" s="1">
        <v>12.9</v>
      </c>
      <c r="M65" s="1" t="s">
        <v>65</v>
      </c>
      <c r="N65" s="3" t="s">
        <v>128</v>
      </c>
      <c r="O65" s="1"/>
    </row>
    <row r="66" spans="1:15" x14ac:dyDescent="0.25">
      <c r="A66" s="2" t="s">
        <v>209</v>
      </c>
      <c r="B66" s="1" t="s">
        <v>126</v>
      </c>
      <c r="C66" s="1" t="s">
        <v>21</v>
      </c>
      <c r="D66" s="21" t="s">
        <v>1451</v>
      </c>
      <c r="E66" s="1" t="str">
        <f>VLOOKUP(Table1[[#This Row],[Navn DK]],product_nodes_new_id!A:B,2,FALSE)</f>
        <v>0ace3898-8fde-5f73-9a05-9969819f9dd7</v>
      </c>
      <c r="F66" s="1">
        <v>2.4213200000000001</v>
      </c>
      <c r="G66" s="1">
        <v>1.7380000000000002</v>
      </c>
      <c r="H66" s="1">
        <v>8.481000000000001E-5</v>
      </c>
      <c r="I66" s="1">
        <v>-4.5990000000000003E-2</v>
      </c>
      <c r="J66" s="1">
        <v>1</v>
      </c>
      <c r="K66" s="1" t="s">
        <v>1273</v>
      </c>
      <c r="L66" s="1">
        <v>16</v>
      </c>
      <c r="M66" s="1" t="s">
        <v>65</v>
      </c>
      <c r="N66" s="3" t="s">
        <v>128</v>
      </c>
      <c r="O66" s="1"/>
    </row>
    <row r="67" spans="1:15" x14ac:dyDescent="0.25">
      <c r="A67" s="2" t="s">
        <v>207</v>
      </c>
      <c r="B67" s="1" t="s">
        <v>126</v>
      </c>
      <c r="C67" s="1" t="s">
        <v>21</v>
      </c>
      <c r="D67" s="21" t="s">
        <v>1453</v>
      </c>
      <c r="E67" s="1" t="str">
        <f>VLOOKUP(Table1[[#This Row],[Navn DK]],product_nodes_new_id!A:B,2,FALSE)</f>
        <v>5238954e-2087-5df4-a772-19ee57531d64</v>
      </c>
      <c r="F67" s="1">
        <v>2.5095399999999999</v>
      </c>
      <c r="G67" s="1">
        <v>1.87</v>
      </c>
      <c r="H67" s="1">
        <v>9.1080000000000002E-5</v>
      </c>
      <c r="I67" s="1">
        <v>-8.7120000000000003E-2</v>
      </c>
      <c r="J67" s="1">
        <v>1</v>
      </c>
      <c r="K67" s="1" t="s">
        <v>1273</v>
      </c>
      <c r="L67" s="1">
        <v>13.25</v>
      </c>
      <c r="M67" s="1" t="s">
        <v>65</v>
      </c>
      <c r="N67" s="3" t="s">
        <v>128</v>
      </c>
      <c r="O67" s="1"/>
    </row>
    <row r="68" spans="1:15" x14ac:dyDescent="0.25">
      <c r="A68" s="2" t="s">
        <v>208</v>
      </c>
      <c r="B68" s="1" t="s">
        <v>126</v>
      </c>
      <c r="C68" s="1" t="s">
        <v>21</v>
      </c>
      <c r="D68" s="21" t="s">
        <v>1455</v>
      </c>
      <c r="E68" s="1" t="str">
        <f>VLOOKUP(Table1[[#This Row],[Navn DK]],product_nodes_new_id!A:B,2,FALSE)</f>
        <v>f941bd8c-16e5-5c06-a5a2-53de9f62314b</v>
      </c>
      <c r="F68" s="1">
        <v>2.68235</v>
      </c>
      <c r="G68" s="1">
        <v>2.0240000000000005</v>
      </c>
      <c r="H68" s="1">
        <v>9.8780000000000013E-5</v>
      </c>
      <c r="I68" s="1">
        <v>-9.4500000000000001E-2</v>
      </c>
      <c r="J68" s="1">
        <v>1</v>
      </c>
      <c r="K68" s="1" t="s">
        <v>1273</v>
      </c>
      <c r="L68" s="1">
        <v>15</v>
      </c>
      <c r="M68" s="1" t="s">
        <v>65</v>
      </c>
      <c r="N68" s="3" t="s">
        <v>128</v>
      </c>
      <c r="O68" s="1"/>
    </row>
    <row r="69" spans="1:15" x14ac:dyDescent="0.25">
      <c r="A69" s="2" t="s">
        <v>678</v>
      </c>
      <c r="B69" s="1" t="s">
        <v>312</v>
      </c>
      <c r="C69" s="1" t="s">
        <v>679</v>
      </c>
      <c r="D69" s="1" t="s">
        <v>1457</v>
      </c>
      <c r="E69" s="1" t="str">
        <f>VLOOKUP(Table1[[#This Row],[Navn DK]],product_nodes_new_id!A:B,2,FALSE)</f>
        <v>7f0bb6fe-aa16-5dc3-88c4-cd2f374ed4d3</v>
      </c>
      <c r="F69" s="1">
        <v>4.8491399790851002</v>
      </c>
      <c r="G69" s="1">
        <v>0.13200000000000001</v>
      </c>
      <c r="H69" s="1">
        <v>0.18056044875614999</v>
      </c>
      <c r="I69" s="1">
        <v>0</v>
      </c>
      <c r="J69" s="1">
        <v>1</v>
      </c>
      <c r="K69" s="1" t="s">
        <v>1272</v>
      </c>
      <c r="L69" s="1">
        <v>11.4</v>
      </c>
      <c r="M69" s="1" t="s">
        <v>23</v>
      </c>
      <c r="N69" s="3" t="s">
        <v>1205</v>
      </c>
      <c r="O69" s="1"/>
    </row>
    <row r="70" spans="1:15" x14ac:dyDescent="0.25">
      <c r="A70" s="2" t="s">
        <v>692</v>
      </c>
      <c r="B70" s="1" t="s">
        <v>312</v>
      </c>
      <c r="C70" s="1" t="s">
        <v>693</v>
      </c>
      <c r="D70" s="1" t="s">
        <v>1459</v>
      </c>
      <c r="E70" s="1" t="str">
        <f>VLOOKUP(Table1[[#This Row],[Navn DK]],product_nodes_new_id!A:B,2,FALSE)</f>
        <v>c717477d-18a5-5fb5-8c27-f39d313037e4</v>
      </c>
      <c r="F70" s="1">
        <v>7.5849222319760097</v>
      </c>
      <c r="G70" s="1">
        <v>0.184</v>
      </c>
      <c r="H70" s="1">
        <v>0.27711683846532098</v>
      </c>
      <c r="I70" s="1">
        <v>0</v>
      </c>
      <c r="J70" s="1">
        <v>1</v>
      </c>
      <c r="K70" s="1" t="s">
        <v>1272</v>
      </c>
      <c r="L70" s="1">
        <v>17.399999999999999</v>
      </c>
      <c r="M70" s="1" t="s">
        <v>23</v>
      </c>
      <c r="N70" s="3" t="s">
        <v>1209</v>
      </c>
      <c r="O70" s="1"/>
    </row>
    <row r="71" spans="1:15" x14ac:dyDescent="0.25">
      <c r="A71" s="2" t="s">
        <v>736</v>
      </c>
      <c r="B71" s="1" t="s">
        <v>312</v>
      </c>
      <c r="C71" s="1" t="s">
        <v>737</v>
      </c>
      <c r="D71" s="1" t="s">
        <v>1461</v>
      </c>
      <c r="E71" s="1" t="str">
        <f>VLOOKUP(Table1[[#This Row],[Navn DK]],product_nodes_new_id!A:B,2,FALSE)</f>
        <v>840b7da7-4268-50af-8408-3c03e10b4a4e</v>
      </c>
      <c r="F71" s="1">
        <v>10.1084884616685</v>
      </c>
      <c r="G71" s="1">
        <v>0.38500000000000001</v>
      </c>
      <c r="H71" s="1">
        <v>0.56607792740163398</v>
      </c>
      <c r="I71" s="1">
        <v>0</v>
      </c>
      <c r="J71" s="1">
        <v>1</v>
      </c>
      <c r="K71" s="1" t="s">
        <v>1272</v>
      </c>
      <c r="L71" s="1">
        <v>35.18</v>
      </c>
      <c r="M71" s="1" t="s">
        <v>23</v>
      </c>
      <c r="N71" s="3" t="s">
        <v>1216</v>
      </c>
      <c r="O71" s="1"/>
    </row>
    <row r="72" spans="1:15" x14ac:dyDescent="0.25">
      <c r="A72" s="2" t="s">
        <v>680</v>
      </c>
      <c r="B72" s="1" t="s">
        <v>312</v>
      </c>
      <c r="C72" s="1" t="s">
        <v>681</v>
      </c>
      <c r="D72" s="1" t="s">
        <v>1463</v>
      </c>
      <c r="E72" s="1" t="str">
        <f>VLOOKUP(Table1[[#This Row],[Navn DK]],product_nodes_new_id!A:B,2,FALSE)</f>
        <v>a692c387-918d-51ea-a0cd-cc0c92249b2c</v>
      </c>
      <c r="F72" s="1">
        <v>5.5528861354002199</v>
      </c>
      <c r="G72" s="1">
        <v>0</v>
      </c>
      <c r="H72" s="1">
        <v>0.200772919668603</v>
      </c>
      <c r="I72" s="1">
        <v>0</v>
      </c>
      <c r="J72" s="1">
        <v>1</v>
      </c>
      <c r="K72" s="1" t="s">
        <v>1272</v>
      </c>
      <c r="L72" s="1">
        <v>12.3</v>
      </c>
      <c r="M72" s="1" t="s">
        <v>23</v>
      </c>
      <c r="N72" s="3" t="s">
        <v>1206</v>
      </c>
      <c r="O72" s="1"/>
    </row>
    <row r="73" spans="1:15" x14ac:dyDescent="0.25">
      <c r="A73" s="2" t="s">
        <v>682</v>
      </c>
      <c r="B73" s="1" t="s">
        <v>312</v>
      </c>
      <c r="C73" s="1" t="s">
        <v>683</v>
      </c>
      <c r="D73" s="1" t="s">
        <v>1465</v>
      </c>
      <c r="E73" s="1" t="str">
        <f>VLOOKUP(Table1[[#This Row],[Navn DK]],product_nodes_new_id!A:B,2,FALSE)</f>
        <v>0e5cfef7-d391-5890-877a-4f6f421189d4</v>
      </c>
      <c r="F73" s="1">
        <v>5.5528861354002199</v>
      </c>
      <c r="G73" s="1">
        <v>0</v>
      </c>
      <c r="H73" s="1">
        <v>0.200772919668603</v>
      </c>
      <c r="I73" s="1">
        <v>0</v>
      </c>
      <c r="J73" s="1">
        <v>1</v>
      </c>
      <c r="K73" s="1" t="s">
        <v>1272</v>
      </c>
      <c r="L73" s="1">
        <v>12.48</v>
      </c>
      <c r="M73" s="1" t="s">
        <v>23</v>
      </c>
      <c r="N73" s="3" t="s">
        <v>1207</v>
      </c>
      <c r="O73" s="1"/>
    </row>
    <row r="74" spans="1:15" x14ac:dyDescent="0.25">
      <c r="A74" s="2" t="s">
        <v>684</v>
      </c>
      <c r="B74" s="1" t="s">
        <v>312</v>
      </c>
      <c r="C74" s="1" t="s">
        <v>685</v>
      </c>
      <c r="D74" s="1" t="s">
        <v>1467</v>
      </c>
      <c r="E74" s="1" t="str">
        <f>VLOOKUP(Table1[[#This Row],[Navn DK]],product_nodes_new_id!A:B,2,FALSE)</f>
        <v>7fb60136-3f9b-5fff-96cc-281e14222dd9</v>
      </c>
      <c r="F74" s="1">
        <v>6.5406459849468899</v>
      </c>
      <c r="G74" s="1">
        <v>0</v>
      </c>
      <c r="H74" s="1">
        <v>0.200772919668603</v>
      </c>
      <c r="I74" s="1">
        <v>0</v>
      </c>
      <c r="J74" s="1">
        <v>1</v>
      </c>
      <c r="K74" s="1" t="s">
        <v>1272</v>
      </c>
      <c r="L74" s="1">
        <v>12.48</v>
      </c>
      <c r="M74" s="1" t="s">
        <v>23</v>
      </c>
      <c r="N74" s="3" t="s">
        <v>1208</v>
      </c>
      <c r="O74" s="1"/>
    </row>
    <row r="75" spans="1:15" x14ac:dyDescent="0.25">
      <c r="A75" s="2" t="s">
        <v>696</v>
      </c>
      <c r="B75" s="1" t="s">
        <v>312</v>
      </c>
      <c r="C75" s="1" t="s">
        <v>697</v>
      </c>
      <c r="D75" s="1" t="s">
        <v>1469</v>
      </c>
      <c r="E75" s="1" t="str">
        <f>VLOOKUP(Table1[[#This Row],[Navn DK]],product_nodes_new_id!A:B,2,FALSE)</f>
        <v>a89b8115-43fa-5b8d-96d0-08b15db92e2b</v>
      </c>
      <c r="F75" s="1">
        <v>5.38635663985026</v>
      </c>
      <c r="G75" s="1">
        <v>7.9650124516137497</v>
      </c>
      <c r="H75" s="1">
        <v>0</v>
      </c>
      <c r="I75" s="1">
        <v>-2.7684054857388198</v>
      </c>
      <c r="J75" s="1">
        <v>1</v>
      </c>
      <c r="K75" s="1" t="s">
        <v>1272</v>
      </c>
      <c r="L75" s="1">
        <v>2</v>
      </c>
      <c r="M75" s="1" t="s">
        <v>23</v>
      </c>
      <c r="N75" s="3" t="s">
        <v>1211</v>
      </c>
      <c r="O75" s="1"/>
    </row>
    <row r="76" spans="1:15" x14ac:dyDescent="0.25">
      <c r="A76" s="2" t="s">
        <v>92</v>
      </c>
      <c r="B76" s="1" t="s">
        <v>14</v>
      </c>
      <c r="C76" s="1" t="s">
        <v>21</v>
      </c>
      <c r="D76" s="1" t="s">
        <v>93</v>
      </c>
      <c r="E76" s="1" t="s">
        <v>2229</v>
      </c>
      <c r="F76" s="1">
        <v>215</v>
      </c>
      <c r="G76" s="1">
        <v>6.94</v>
      </c>
      <c r="H76" s="1">
        <v>5.13</v>
      </c>
      <c r="I76" s="1">
        <v>-4.74</v>
      </c>
      <c r="J76" s="1">
        <v>1</v>
      </c>
      <c r="K76" s="1" t="s">
        <v>1274</v>
      </c>
      <c r="L76" s="1">
        <v>2212</v>
      </c>
      <c r="M76" s="1" t="s">
        <v>65</v>
      </c>
      <c r="N76" s="3" t="s">
        <v>94</v>
      </c>
      <c r="O76" s="1"/>
    </row>
    <row r="77" spans="1:15" x14ac:dyDescent="0.25">
      <c r="A77" s="2" t="s">
        <v>98</v>
      </c>
      <c r="B77" s="1" t="s">
        <v>14</v>
      </c>
      <c r="C77" s="1" t="s">
        <v>21</v>
      </c>
      <c r="D77" s="1" t="s">
        <v>99</v>
      </c>
      <c r="E77" s="1" t="s">
        <v>2230</v>
      </c>
      <c r="F77" s="1">
        <v>241</v>
      </c>
      <c r="G77" s="1">
        <v>6.73</v>
      </c>
      <c r="H77" s="1">
        <v>4.97</v>
      </c>
      <c r="I77" s="1">
        <v>-4.5999999999999996</v>
      </c>
      <c r="J77" s="1">
        <v>1</v>
      </c>
      <c r="K77" s="1" t="s">
        <v>1274</v>
      </c>
      <c r="L77" s="1">
        <v>2246</v>
      </c>
      <c r="M77" s="1" t="s">
        <v>65</v>
      </c>
      <c r="N77" s="3" t="s">
        <v>94</v>
      </c>
      <c r="O77" s="1"/>
    </row>
    <row r="78" spans="1:15" x14ac:dyDescent="0.25">
      <c r="A78" s="2" t="s">
        <v>103</v>
      </c>
      <c r="B78" s="1" t="s">
        <v>14</v>
      </c>
      <c r="C78" s="1" t="s">
        <v>21</v>
      </c>
      <c r="D78" s="1" t="s">
        <v>104</v>
      </c>
      <c r="E78" s="1" t="s">
        <v>2231</v>
      </c>
      <c r="F78" s="1">
        <v>282</v>
      </c>
      <c r="G78" s="1">
        <v>6.72</v>
      </c>
      <c r="H78" s="1">
        <v>4.97</v>
      </c>
      <c r="I78" s="1">
        <v>-4.5999999999999996</v>
      </c>
      <c r="J78" s="1">
        <v>1</v>
      </c>
      <c r="K78" s="1" t="s">
        <v>1274</v>
      </c>
      <c r="L78" s="1">
        <v>2255</v>
      </c>
      <c r="M78" s="1" t="s">
        <v>65</v>
      </c>
      <c r="N78" s="3" t="s">
        <v>102</v>
      </c>
      <c r="O78" s="1"/>
    </row>
    <row r="79" spans="1:15" x14ac:dyDescent="0.25">
      <c r="A79" s="2" t="s">
        <v>108</v>
      </c>
      <c r="B79" s="1" t="s">
        <v>14</v>
      </c>
      <c r="C79" s="1" t="s">
        <v>21</v>
      </c>
      <c r="D79" s="1" t="s">
        <v>109</v>
      </c>
      <c r="E79" s="1" t="s">
        <v>2232</v>
      </c>
      <c r="F79" s="1">
        <v>362</v>
      </c>
      <c r="G79" s="1">
        <v>7.07</v>
      </c>
      <c r="H79" s="1">
        <v>5.23</v>
      </c>
      <c r="I79" s="1">
        <v>-4.84</v>
      </c>
      <c r="J79" s="1">
        <v>1</v>
      </c>
      <c r="K79" s="1" t="s">
        <v>1274</v>
      </c>
      <c r="L79" s="1">
        <v>2267</v>
      </c>
      <c r="M79" s="1" t="s">
        <v>65</v>
      </c>
      <c r="N79" s="3" t="s">
        <v>107</v>
      </c>
      <c r="O79" s="1"/>
    </row>
    <row r="80" spans="1:15" x14ac:dyDescent="0.25">
      <c r="A80" s="2" t="s">
        <v>114</v>
      </c>
      <c r="B80" s="1" t="s">
        <v>14</v>
      </c>
      <c r="C80" s="1" t="s">
        <v>21</v>
      </c>
      <c r="D80" s="1" t="s">
        <v>115</v>
      </c>
      <c r="E80" s="1" t="s">
        <v>2233</v>
      </c>
      <c r="F80" s="1">
        <v>403</v>
      </c>
      <c r="G80" s="1">
        <v>6.85</v>
      </c>
      <c r="H80" s="1">
        <v>5.0599999999999996</v>
      </c>
      <c r="I80" s="1">
        <v>-4.68</v>
      </c>
      <c r="J80" s="1">
        <v>1</v>
      </c>
      <c r="K80" s="1" t="s">
        <v>1274</v>
      </c>
      <c r="L80" s="1">
        <v>2304</v>
      </c>
      <c r="M80" s="1" t="s">
        <v>65</v>
      </c>
      <c r="N80" s="3" t="s">
        <v>107</v>
      </c>
      <c r="O80" s="1"/>
    </row>
    <row r="81" spans="1:15" x14ac:dyDescent="0.25">
      <c r="A81" s="2" t="s">
        <v>105</v>
      </c>
      <c r="B81" s="1" t="s">
        <v>14</v>
      </c>
      <c r="C81" s="1" t="s">
        <v>21</v>
      </c>
      <c r="D81" s="1" t="s">
        <v>106</v>
      </c>
      <c r="E81" s="1" t="s">
        <v>2234</v>
      </c>
      <c r="F81" s="1">
        <v>377</v>
      </c>
      <c r="G81" s="1">
        <v>6.63</v>
      </c>
      <c r="H81" s="1">
        <v>4.9000000000000004</v>
      </c>
      <c r="I81" s="1">
        <v>-4.54</v>
      </c>
      <c r="J81" s="1">
        <v>1</v>
      </c>
      <c r="K81" s="1" t="s">
        <v>1274</v>
      </c>
      <c r="L81" s="1">
        <v>2256</v>
      </c>
      <c r="M81" s="1" t="s">
        <v>65</v>
      </c>
      <c r="N81" s="3" t="s">
        <v>107</v>
      </c>
      <c r="O81" s="1"/>
    </row>
    <row r="82" spans="1:15" x14ac:dyDescent="0.25">
      <c r="A82" s="2" t="s">
        <v>100</v>
      </c>
      <c r="B82" s="1" t="s">
        <v>14</v>
      </c>
      <c r="C82" s="1" t="s">
        <v>21</v>
      </c>
      <c r="D82" s="1" t="s">
        <v>101</v>
      </c>
      <c r="E82" s="1" t="s">
        <v>2235</v>
      </c>
      <c r="F82" s="1">
        <v>300</v>
      </c>
      <c r="G82" s="1">
        <v>6.54</v>
      </c>
      <c r="H82" s="1">
        <v>4.83</v>
      </c>
      <c r="I82" s="1">
        <v>-4.47</v>
      </c>
      <c r="J82" s="1">
        <v>1</v>
      </c>
      <c r="K82" s="1" t="s">
        <v>1274</v>
      </c>
      <c r="L82" s="1">
        <v>2254</v>
      </c>
      <c r="M82" s="1" t="s">
        <v>65</v>
      </c>
      <c r="N82" s="3" t="s">
        <v>102</v>
      </c>
      <c r="O82" s="1"/>
    </row>
    <row r="83" spans="1:15" x14ac:dyDescent="0.25">
      <c r="A83" s="2" t="s">
        <v>110</v>
      </c>
      <c r="B83" s="1" t="s">
        <v>14</v>
      </c>
      <c r="C83" s="1" t="s">
        <v>21</v>
      </c>
      <c r="D83" s="1" t="s">
        <v>111</v>
      </c>
      <c r="E83" s="1" t="s">
        <v>2236</v>
      </c>
      <c r="F83" s="1">
        <v>429</v>
      </c>
      <c r="G83" s="1">
        <v>6.77</v>
      </c>
      <c r="H83" s="1">
        <v>5</v>
      </c>
      <c r="I83" s="1">
        <v>-4.63</v>
      </c>
      <c r="J83" s="1">
        <v>1</v>
      </c>
      <c r="K83" s="1" t="s">
        <v>1274</v>
      </c>
      <c r="L83" s="1">
        <v>2267</v>
      </c>
      <c r="M83" s="1" t="s">
        <v>65</v>
      </c>
      <c r="N83" s="3" t="s">
        <v>97</v>
      </c>
      <c r="O83" s="1"/>
    </row>
    <row r="84" spans="1:15" x14ac:dyDescent="0.25">
      <c r="A84" s="2" t="s">
        <v>112</v>
      </c>
      <c r="B84" s="1" t="s">
        <v>14</v>
      </c>
      <c r="C84" s="1" t="s">
        <v>21</v>
      </c>
      <c r="D84" s="1" t="s">
        <v>113</v>
      </c>
      <c r="E84" s="1" t="s">
        <v>2237</v>
      </c>
      <c r="F84" s="1">
        <v>465</v>
      </c>
      <c r="G84" s="1">
        <v>6.95</v>
      </c>
      <c r="H84" s="1">
        <v>5.14</v>
      </c>
      <c r="I84" s="1">
        <v>-4.76</v>
      </c>
      <c r="J84" s="1">
        <v>1</v>
      </c>
      <c r="K84" s="1" t="s">
        <v>1274</v>
      </c>
      <c r="L84" s="1">
        <v>2284</v>
      </c>
      <c r="M84" s="1" t="s">
        <v>65</v>
      </c>
      <c r="N84" s="3" t="s">
        <v>97</v>
      </c>
      <c r="O84" s="1"/>
    </row>
    <row r="85" spans="1:15" x14ac:dyDescent="0.25">
      <c r="A85" s="2" t="s">
        <v>95</v>
      </c>
      <c r="B85" s="1" t="s">
        <v>14</v>
      </c>
      <c r="C85" s="1" t="s">
        <v>21</v>
      </c>
      <c r="D85" s="1" t="s">
        <v>96</v>
      </c>
      <c r="E85" s="1" t="s">
        <v>2238</v>
      </c>
      <c r="F85" s="1">
        <v>426</v>
      </c>
      <c r="G85" s="1">
        <v>6.75</v>
      </c>
      <c r="H85" s="1">
        <v>4.99</v>
      </c>
      <c r="I85" s="1">
        <v>-4.62</v>
      </c>
      <c r="J85" s="1">
        <v>1</v>
      </c>
      <c r="K85" s="1" t="s">
        <v>1274</v>
      </c>
      <c r="L85" s="1">
        <v>2229</v>
      </c>
      <c r="M85" s="1" t="s">
        <v>65</v>
      </c>
      <c r="N85" s="3" t="s">
        <v>97</v>
      </c>
      <c r="O85" s="1"/>
    </row>
    <row r="86" spans="1:15" x14ac:dyDescent="0.25">
      <c r="A86" s="2" t="s">
        <v>809</v>
      </c>
      <c r="B86" s="1" t="s">
        <v>312</v>
      </c>
      <c r="C86" s="1" t="s">
        <v>810</v>
      </c>
      <c r="D86" s="1" t="s">
        <v>1499</v>
      </c>
      <c r="E86" s="1" t="str">
        <f>VLOOKUP(Table1[[#This Row],[Navn DK]],product_nodes_new_id!A:B,2,FALSE)</f>
        <v>8e483645-aeb2-57ae-9b0d-5bd7ac85006e</v>
      </c>
      <c r="F86" s="1">
        <v>532.86184604044195</v>
      </c>
      <c r="G86" s="1">
        <v>13.531849233391601</v>
      </c>
      <c r="H86" s="1">
        <v>0</v>
      </c>
      <c r="I86" s="1">
        <v>-3.14923925791985</v>
      </c>
      <c r="J86" s="1">
        <v>1</v>
      </c>
      <c r="K86" s="1" t="s">
        <v>1274</v>
      </c>
      <c r="L86" s="1">
        <v>2000</v>
      </c>
      <c r="M86" s="1" t="s">
        <v>65</v>
      </c>
      <c r="N86" s="3" t="s">
        <v>1227</v>
      </c>
      <c r="O86" s="1"/>
    </row>
    <row r="87" spans="1:15" x14ac:dyDescent="0.25">
      <c r="A87" s="2" t="s">
        <v>195</v>
      </c>
      <c r="B87" s="1" t="s">
        <v>126</v>
      </c>
      <c r="C87" s="1" t="s">
        <v>21</v>
      </c>
      <c r="D87" s="1" t="s">
        <v>196</v>
      </c>
      <c r="E87" s="1" t="str">
        <f>VLOOKUP(Table1[[#This Row],[Navn DK]],product_nodes_new_id!A:B,2,FALSE)</f>
        <v>99bbbb92-f3ab-5c9e-ab05-7582403446bc</v>
      </c>
      <c r="F87" s="1">
        <v>12.870000000000001</v>
      </c>
      <c r="G87" s="1">
        <v>0</v>
      </c>
      <c r="H87" s="1">
        <v>0.24860000000000002</v>
      </c>
      <c r="I87" s="1">
        <v>0</v>
      </c>
      <c r="J87" s="1">
        <v>1</v>
      </c>
      <c r="K87" s="1" t="s">
        <v>1272</v>
      </c>
      <c r="L87" s="1">
        <v>14.4</v>
      </c>
      <c r="M87" s="1" t="s">
        <v>23</v>
      </c>
      <c r="N87" s="3" t="s">
        <v>128</v>
      </c>
      <c r="O87" s="1"/>
    </row>
    <row r="88" spans="1:15" x14ac:dyDescent="0.25">
      <c r="A88" s="2" t="s">
        <v>642</v>
      </c>
      <c r="B88" s="1" t="s">
        <v>312</v>
      </c>
      <c r="C88" s="1" t="s">
        <v>643</v>
      </c>
      <c r="D88" s="1" t="s">
        <v>1506</v>
      </c>
      <c r="E88" s="1" t="str">
        <f>VLOOKUP(Table1[[#This Row],[Navn DK]],product_nodes_new_id!A:B,2,FALSE)</f>
        <v>bdb8f04e-36f4-5941-a0fb-a56747b01108</v>
      </c>
      <c r="F88" s="1">
        <v>1.21733972018943</v>
      </c>
      <c r="G88" s="1">
        <v>1.88307182208276</v>
      </c>
      <c r="H88" s="1">
        <v>0</v>
      </c>
      <c r="I88" s="1">
        <v>-0.65448716646542904</v>
      </c>
      <c r="J88" s="1">
        <v>1</v>
      </c>
      <c r="K88" s="1" t="s">
        <v>1272</v>
      </c>
      <c r="L88" s="1">
        <v>0.5</v>
      </c>
      <c r="M88" s="1" t="s">
        <v>23</v>
      </c>
      <c r="N88" s="3" t="s">
        <v>1202</v>
      </c>
      <c r="O88" s="1"/>
    </row>
    <row r="89" spans="1:15" x14ac:dyDescent="0.25">
      <c r="A89" s="2" t="s">
        <v>139</v>
      </c>
      <c r="B89" s="1" t="s">
        <v>126</v>
      </c>
      <c r="C89" s="1" t="s">
        <v>21</v>
      </c>
      <c r="D89" s="1" t="s">
        <v>140</v>
      </c>
      <c r="E89" s="1" t="str">
        <f>VLOOKUP(Table1[[#This Row],[Navn DK]],product_nodes_new_id!A:B,2,FALSE)</f>
        <v>7e2dcc42-4bed-547e-bb98-582f220411e0</v>
      </c>
      <c r="F89" s="1">
        <v>4.6553383603781553</v>
      </c>
      <c r="G89" s="1">
        <v>0.23962070732957458</v>
      </c>
      <c r="H89" s="1">
        <v>3.5435939418747446E-2</v>
      </c>
      <c r="I89" s="1">
        <v>-0.50159521435692922</v>
      </c>
      <c r="J89" s="1">
        <v>1</v>
      </c>
      <c r="K89" s="1" t="s">
        <v>16</v>
      </c>
      <c r="L89" s="1">
        <v>23.2</v>
      </c>
      <c r="M89" s="1" t="s">
        <v>120</v>
      </c>
      <c r="N89" s="3" t="s">
        <v>128</v>
      </c>
      <c r="O89" s="1"/>
    </row>
    <row r="90" spans="1:15" x14ac:dyDescent="0.25">
      <c r="A90" s="2" t="s">
        <v>311</v>
      </c>
      <c r="B90" s="1" t="s">
        <v>312</v>
      </c>
      <c r="C90" s="1" t="s">
        <v>313</v>
      </c>
      <c r="D90" s="1" t="s">
        <v>140</v>
      </c>
      <c r="E90" s="1" t="str">
        <f>VLOOKUP(Table1[[#This Row],[Navn DK]],product_nodes_new_id!A:B,2,FALSE)</f>
        <v>7e2dcc42-4bed-547e-bb98-582f220411e0</v>
      </c>
      <c r="F90" s="1">
        <v>4.5423531471817</v>
      </c>
      <c r="G90" s="1">
        <v>0.188624427150552</v>
      </c>
      <c r="H90" s="1">
        <v>1.1983199676393301E-2</v>
      </c>
      <c r="I90" s="1">
        <v>-1.0213585911931999</v>
      </c>
      <c r="J90" s="1">
        <v>1</v>
      </c>
      <c r="K90" s="1" t="s">
        <v>16</v>
      </c>
      <c r="L90" s="1">
        <v>1</v>
      </c>
      <c r="M90" s="1" t="s">
        <v>17</v>
      </c>
      <c r="N90" s="15" t="s">
        <v>314</v>
      </c>
      <c r="O90" s="1"/>
    </row>
    <row r="91" spans="1:15" x14ac:dyDescent="0.25">
      <c r="A91" s="2" t="s">
        <v>650</v>
      </c>
      <c r="B91" s="1" t="s">
        <v>312</v>
      </c>
      <c r="C91" s="1" t="s">
        <v>651</v>
      </c>
      <c r="D91" s="1" t="s">
        <v>1513</v>
      </c>
      <c r="E91" s="1" t="str">
        <f>VLOOKUP(Table1[[#This Row],[Navn DK]],product_nodes_new_id!A:B,2,FALSE)</f>
        <v>88aac703-b1c5-554c-b2d8-bae4954480bf</v>
      </c>
      <c r="F91" s="1">
        <v>3.4378362286317801</v>
      </c>
      <c r="G91" s="1">
        <v>3.7516225338676401</v>
      </c>
      <c r="H91" s="1">
        <v>0</v>
      </c>
      <c r="I91" s="1">
        <v>-0.77150103565040495</v>
      </c>
      <c r="J91" s="1">
        <v>1</v>
      </c>
      <c r="K91" s="1" t="s">
        <v>1272</v>
      </c>
      <c r="L91" s="1">
        <v>1.1299999999999999</v>
      </c>
      <c r="M91" s="1" t="s">
        <v>23</v>
      </c>
      <c r="N91" s="3" t="s">
        <v>652</v>
      </c>
      <c r="O91" s="1"/>
    </row>
    <row r="92" spans="1:15" x14ac:dyDescent="0.25">
      <c r="A92" s="2" t="s">
        <v>656</v>
      </c>
      <c r="B92" s="1" t="s">
        <v>312</v>
      </c>
      <c r="C92" s="1" t="s">
        <v>657</v>
      </c>
      <c r="D92" s="1" t="s">
        <v>1515</v>
      </c>
      <c r="E92" s="1" t="str">
        <f>VLOOKUP(Table1[[#This Row],[Navn DK]],product_nodes_new_id!A:B,2,FALSE)</f>
        <v>d1f0ffc9-3e7d-5e75-84c6-8538b7d5506d</v>
      </c>
      <c r="F92" s="1">
        <v>3.1373122646165199</v>
      </c>
      <c r="G92" s="1">
        <v>4.83973246618842</v>
      </c>
      <c r="H92" s="1">
        <v>0</v>
      </c>
      <c r="I92" s="1">
        <v>-1.68210724622609</v>
      </c>
      <c r="J92" s="1">
        <v>1</v>
      </c>
      <c r="K92" s="1" t="s">
        <v>1272</v>
      </c>
      <c r="L92" s="1">
        <v>1.3</v>
      </c>
      <c r="M92" s="1" t="s">
        <v>23</v>
      </c>
      <c r="N92" s="3" t="s">
        <v>1203</v>
      </c>
      <c r="O92" s="1"/>
    </row>
    <row r="93" spans="1:15" x14ac:dyDescent="0.25">
      <c r="A93" s="2" t="s">
        <v>125</v>
      </c>
      <c r="B93" s="1" t="s">
        <v>126</v>
      </c>
      <c r="C93" s="1" t="s">
        <v>21</v>
      </c>
      <c r="D93" s="1" t="s">
        <v>1529</v>
      </c>
      <c r="E93" s="1" t="str">
        <f>VLOOKUP(Table1[[#This Row],[Navn DK]],product_nodes_new_id!A:B,2,FALSE)</f>
        <v>1bcc6bf1-618a-5846-8bb5-447c366896fd</v>
      </c>
      <c r="F93" s="1">
        <v>5.8960000000000008</v>
      </c>
      <c r="G93" s="1">
        <v>0.47190000000000004</v>
      </c>
      <c r="H93" s="1">
        <v>0</v>
      </c>
      <c r="I93" s="1">
        <v>-0.56069999999999998</v>
      </c>
      <c r="J93" s="1">
        <v>1</v>
      </c>
      <c r="K93" s="1" t="s">
        <v>16</v>
      </c>
      <c r="L93" s="1">
        <v>1.5</v>
      </c>
      <c r="M93" s="1" t="s">
        <v>127</v>
      </c>
      <c r="N93" s="3" t="s">
        <v>128</v>
      </c>
      <c r="O93" s="1"/>
    </row>
    <row r="94" spans="1:15" x14ac:dyDescent="0.25">
      <c r="A94" s="2" t="s">
        <v>653</v>
      </c>
      <c r="B94" s="1" t="s">
        <v>312</v>
      </c>
      <c r="C94" s="1" t="s">
        <v>654</v>
      </c>
      <c r="D94" s="1" t="s">
        <v>1533</v>
      </c>
      <c r="E94" s="1" t="str">
        <f>VLOOKUP(Table1[[#This Row],[Navn DK]],product_nodes_new_id!A:B,2,FALSE)</f>
        <v>ab4e716e-907b-5628-a2ae-27658399ce44</v>
      </c>
      <c r="F94" s="1">
        <v>4.1174061576412297</v>
      </c>
      <c r="G94" s="1">
        <v>4.1427794993901097</v>
      </c>
      <c r="H94" s="1">
        <v>0</v>
      </c>
      <c r="I94" s="1">
        <v>-1.71212128277457</v>
      </c>
      <c r="J94" s="1">
        <v>1</v>
      </c>
      <c r="K94" s="1" t="s">
        <v>1272</v>
      </c>
      <c r="L94" s="1">
        <v>1.2</v>
      </c>
      <c r="M94" s="1" t="s">
        <v>23</v>
      </c>
      <c r="N94" s="3" t="s">
        <v>655</v>
      </c>
      <c r="O94" s="1"/>
    </row>
    <row r="95" spans="1:15" x14ac:dyDescent="0.25">
      <c r="A95" s="2" t="s">
        <v>945</v>
      </c>
      <c r="B95" s="1" t="s">
        <v>312</v>
      </c>
      <c r="C95" s="1" t="s">
        <v>946</v>
      </c>
      <c r="D95" s="1" t="s">
        <v>1535</v>
      </c>
      <c r="E95" s="1" t="str">
        <f>VLOOKUP(Table1[[#This Row],[Navn DK]],product_nodes_new_id!A:B,2,FALSE)</f>
        <v>39dd3ef0-bd6d-5716-956c-9188e93a116d</v>
      </c>
      <c r="F95" s="1">
        <v>344.78406804554203</v>
      </c>
      <c r="G95" s="1">
        <v>10.2672351316664</v>
      </c>
      <c r="H95" s="1">
        <v>7.5295510015403604</v>
      </c>
      <c r="I95" s="1">
        <v>-171.298879069436</v>
      </c>
      <c r="J95" s="1">
        <v>1</v>
      </c>
      <c r="K95" s="1" t="s">
        <v>119</v>
      </c>
      <c r="L95" s="1">
        <v>157</v>
      </c>
      <c r="M95" s="1" t="s">
        <v>120</v>
      </c>
      <c r="N95" s="3" t="s">
        <v>947</v>
      </c>
      <c r="O95" s="1"/>
    </row>
    <row r="96" spans="1:15" x14ac:dyDescent="0.25">
      <c r="A96" s="2" t="s">
        <v>921</v>
      </c>
      <c r="B96" s="1" t="s">
        <v>312</v>
      </c>
      <c r="C96" s="1" t="s">
        <v>922</v>
      </c>
      <c r="D96" s="1" t="s">
        <v>2194</v>
      </c>
      <c r="E96" s="1" t="e">
        <f>VLOOKUP(Table1[[#This Row],[Navn DK]],product_nodes_new_id!A:B,2,FALSE)</f>
        <v>#N/A</v>
      </c>
      <c r="F96" s="1">
        <v>414.31709862090298</v>
      </c>
      <c r="G96" s="1">
        <v>8.5716091614210708</v>
      </c>
      <c r="H96" s="1">
        <v>0.891070005559774</v>
      </c>
      <c r="I96" s="1">
        <v>-51.794674013705503</v>
      </c>
      <c r="J96" s="1">
        <v>1</v>
      </c>
      <c r="K96" s="1" t="s">
        <v>119</v>
      </c>
      <c r="L96" s="1">
        <v>118</v>
      </c>
      <c r="M96" s="1" t="s">
        <v>120</v>
      </c>
      <c r="N96" s="3" t="s">
        <v>923</v>
      </c>
      <c r="O96" s="1"/>
    </row>
    <row r="97" spans="1:15" x14ac:dyDescent="0.25">
      <c r="A97" s="2" t="s">
        <v>1039</v>
      </c>
      <c r="B97" s="1" t="s">
        <v>312</v>
      </c>
      <c r="C97" s="1" t="s">
        <v>1040</v>
      </c>
      <c r="D97" s="1" t="s">
        <v>1537</v>
      </c>
      <c r="E97" s="1" t="str">
        <f>VLOOKUP(Table1[[#This Row],[Navn DK]],product_nodes_new_id!A:B,2,FALSE)</f>
        <v>1f75a72d-b473-5fe1-aa06-589dba893d35</v>
      </c>
      <c r="F97" s="1">
        <v>2643.13589008393</v>
      </c>
      <c r="G97" s="1">
        <v>66.894752604326499</v>
      </c>
      <c r="H97" s="1">
        <v>3.2651647968202702</v>
      </c>
      <c r="I97" s="1">
        <v>-417.11441816285401</v>
      </c>
      <c r="J97" s="1">
        <v>1</v>
      </c>
      <c r="K97" s="1" t="s">
        <v>119</v>
      </c>
      <c r="L97" s="1">
        <v>937</v>
      </c>
      <c r="M97" s="1" t="s">
        <v>120</v>
      </c>
      <c r="N97" s="3" t="s">
        <v>1041</v>
      </c>
      <c r="O97" s="1"/>
    </row>
    <row r="98" spans="1:15" x14ac:dyDescent="0.25">
      <c r="A98" s="2" t="s">
        <v>985</v>
      </c>
      <c r="B98" s="1" t="s">
        <v>312</v>
      </c>
      <c r="C98" s="1" t="s">
        <v>986</v>
      </c>
      <c r="D98" s="1" t="s">
        <v>1539</v>
      </c>
      <c r="E98" s="1" t="str">
        <f>VLOOKUP(Table1[[#This Row],[Navn DK]],product_nodes_new_id!A:B,2,FALSE)</f>
        <v>312f7995-ff8f-5f78-8705-a55a2f2af0a0</v>
      </c>
      <c r="F98" s="1">
        <v>1025.2592609941</v>
      </c>
      <c r="G98" s="1">
        <v>21.200946644613001</v>
      </c>
      <c r="H98" s="1">
        <v>2.2060339147120001</v>
      </c>
      <c r="I98" s="1">
        <v>-129.54422827076601</v>
      </c>
      <c r="J98" s="1">
        <v>1</v>
      </c>
      <c r="K98" s="1" t="s">
        <v>119</v>
      </c>
      <c r="L98" s="1">
        <v>292</v>
      </c>
      <c r="M98" s="1" t="s">
        <v>120</v>
      </c>
      <c r="N98" s="3" t="s">
        <v>987</v>
      </c>
      <c r="O98" s="1"/>
    </row>
    <row r="99" spans="1:15" x14ac:dyDescent="0.25">
      <c r="A99" s="2" t="s">
        <v>323</v>
      </c>
      <c r="B99" s="1" t="s">
        <v>312</v>
      </c>
      <c r="C99" s="1" t="s">
        <v>324</v>
      </c>
      <c r="D99" s="1" t="s">
        <v>1543</v>
      </c>
      <c r="E99" s="1" t="str">
        <f>VLOOKUP(Table1[[#This Row],[Navn DK]],product_nodes_new_id!A:B,2,FALSE)</f>
        <v>22ab1e14-8f5e-53ab-b486-2aac8d322ab7</v>
      </c>
      <c r="F99" s="1">
        <v>0.100682742334716</v>
      </c>
      <c r="G99" s="1">
        <v>0</v>
      </c>
      <c r="H99" s="1">
        <v>1.6092731618195199E-2</v>
      </c>
      <c r="I99" s="1">
        <v>0</v>
      </c>
      <c r="J99" s="1">
        <v>1</v>
      </c>
      <c r="K99" s="1" t="s">
        <v>16</v>
      </c>
      <c r="L99" s="1">
        <v>1</v>
      </c>
      <c r="M99" s="1" t="s">
        <v>17</v>
      </c>
      <c r="N99" s="3" t="s">
        <v>1114</v>
      </c>
      <c r="O99" s="1"/>
    </row>
    <row r="100" spans="1:15" x14ac:dyDescent="0.25">
      <c r="A100" s="2" t="s">
        <v>719</v>
      </c>
      <c r="B100" s="1" t="s">
        <v>312</v>
      </c>
      <c r="C100" s="1" t="s">
        <v>720</v>
      </c>
      <c r="D100" s="1" t="s">
        <v>1545</v>
      </c>
      <c r="E100" s="1" t="str">
        <f>VLOOKUP(Table1[[#This Row],[Navn DK]],product_nodes_new_id!A:B,2,FALSE)</f>
        <v>25941cb9-1110-50a3-a3c3-05f9f5e62014</v>
      </c>
      <c r="F100" s="1">
        <v>7.34395223631505</v>
      </c>
      <c r="G100" s="1">
        <v>0</v>
      </c>
      <c r="H100" s="1">
        <v>0.38783483199850399</v>
      </c>
      <c r="I100" s="1">
        <v>0</v>
      </c>
      <c r="J100" s="1">
        <v>1</v>
      </c>
      <c r="K100" s="1" t="s">
        <v>1272</v>
      </c>
      <c r="L100" s="1">
        <v>24.07</v>
      </c>
      <c r="M100" s="1" t="s">
        <v>23</v>
      </c>
      <c r="N100" s="3" t="s">
        <v>721</v>
      </c>
      <c r="O100" s="1"/>
    </row>
    <row r="101" spans="1:15" x14ac:dyDescent="0.25">
      <c r="A101" s="2" t="s">
        <v>708</v>
      </c>
      <c r="B101" s="1" t="s">
        <v>312</v>
      </c>
      <c r="C101" s="1" t="s">
        <v>709</v>
      </c>
      <c r="D101" s="1" t="s">
        <v>1547</v>
      </c>
      <c r="E101" s="1" t="str">
        <f>VLOOKUP(Table1[[#This Row],[Navn DK]],product_nodes_new_id!A:B,2,FALSE)</f>
        <v>1c219127-3373-51c5-b743-3f6d2c1b01ae</v>
      </c>
      <c r="F101" s="1">
        <v>3.1837072602071501</v>
      </c>
      <c r="G101" s="1">
        <v>0</v>
      </c>
      <c r="H101" s="1">
        <v>1.52346390552572</v>
      </c>
      <c r="I101" s="1">
        <v>0</v>
      </c>
      <c r="J101" s="1">
        <v>1</v>
      </c>
      <c r="K101" s="1" t="s">
        <v>1272</v>
      </c>
      <c r="L101" s="1">
        <v>20.07</v>
      </c>
      <c r="M101" s="1" t="s">
        <v>23</v>
      </c>
      <c r="N101" s="3" t="s">
        <v>710</v>
      </c>
      <c r="O101" s="1"/>
    </row>
    <row r="102" spans="1:15" x14ac:dyDescent="0.25">
      <c r="A102" s="2" t="s">
        <v>188</v>
      </c>
      <c r="B102" s="1" t="s">
        <v>126</v>
      </c>
      <c r="C102" s="1" t="s">
        <v>21</v>
      </c>
      <c r="D102" s="21" t="s">
        <v>1553</v>
      </c>
      <c r="E102" s="1" t="str">
        <f>VLOOKUP(Table1[[#This Row],[Navn DK]],product_nodes_new_id!A:B,2,FALSE)</f>
        <v>e9abdab3-a5a1-56bf-8052-085f963d06ad</v>
      </c>
      <c r="F102" s="1">
        <v>2.5850000000000004</v>
      </c>
      <c r="G102" s="1">
        <v>5.2580000000000009E-2</v>
      </c>
      <c r="H102" s="1">
        <v>1.1440000000000001</v>
      </c>
      <c r="I102" s="1">
        <v>-0.23130000000000001</v>
      </c>
      <c r="J102" s="1">
        <v>1</v>
      </c>
      <c r="K102" s="1" t="s">
        <v>1272</v>
      </c>
      <c r="L102" s="1">
        <v>10.6</v>
      </c>
      <c r="M102" s="1" t="s">
        <v>23</v>
      </c>
      <c r="N102" s="3" t="s">
        <v>128</v>
      </c>
      <c r="O102" s="1"/>
    </row>
    <row r="103" spans="1:15" x14ac:dyDescent="0.25">
      <c r="A103" s="2" t="s">
        <v>190</v>
      </c>
      <c r="B103" s="1" t="s">
        <v>126</v>
      </c>
      <c r="C103" s="1" t="s">
        <v>21</v>
      </c>
      <c r="D103" s="21" t="s">
        <v>1557</v>
      </c>
      <c r="E103" s="1" t="str">
        <f>VLOOKUP(Table1[[#This Row],[Navn DK]],product_nodes_new_id!A:B,2,FALSE)</f>
        <v>4e31b812-a7c3-53ab-9e90-6c8bf22b3c72</v>
      </c>
      <c r="F103" s="1">
        <v>3.8940000000000006</v>
      </c>
      <c r="G103" s="1">
        <v>0.14300000000000002</v>
      </c>
      <c r="H103" s="1">
        <v>0.56100000000000005</v>
      </c>
      <c r="I103" s="1">
        <v>-2.0789999999999999E-2</v>
      </c>
      <c r="J103" s="1">
        <v>1</v>
      </c>
      <c r="K103" s="1" t="s">
        <v>1272</v>
      </c>
      <c r="L103" s="1">
        <v>12.7</v>
      </c>
      <c r="M103" s="1" t="s">
        <v>23</v>
      </c>
      <c r="N103" s="3" t="s">
        <v>128</v>
      </c>
      <c r="O103" s="1"/>
    </row>
    <row r="104" spans="1:15" x14ac:dyDescent="0.25">
      <c r="A104" s="2" t="s">
        <v>189</v>
      </c>
      <c r="B104" s="1" t="s">
        <v>126</v>
      </c>
      <c r="C104" s="1" t="s">
        <v>21</v>
      </c>
      <c r="D104" s="21" t="s">
        <v>1551</v>
      </c>
      <c r="E104" s="1" t="str">
        <f>VLOOKUP(Table1[[#This Row],[Navn DK]],product_nodes_new_id!A:B,2,FALSE)</f>
        <v>a74004db-96fb-5d5c-b6fa-d1b4cfdee24a</v>
      </c>
      <c r="F104" s="1">
        <v>2.7390000000000003</v>
      </c>
      <c r="G104" s="1">
        <v>7.3590000000000003E-2</v>
      </c>
      <c r="H104" s="1">
        <v>0.98670000000000013</v>
      </c>
      <c r="I104" s="1">
        <v>-0.19170000000000001</v>
      </c>
      <c r="J104" s="1">
        <v>1</v>
      </c>
      <c r="K104" s="1" t="s">
        <v>1272</v>
      </c>
      <c r="L104" s="1">
        <v>12.2</v>
      </c>
      <c r="M104" s="1" t="s">
        <v>23</v>
      </c>
      <c r="N104" s="3" t="s">
        <v>128</v>
      </c>
      <c r="O104" s="1"/>
    </row>
    <row r="105" spans="1:15" x14ac:dyDescent="0.25">
      <c r="A105" s="2" t="s">
        <v>187</v>
      </c>
      <c r="B105" s="1" t="s">
        <v>126</v>
      </c>
      <c r="C105" s="1" t="s">
        <v>21</v>
      </c>
      <c r="D105" s="21" t="s">
        <v>1553</v>
      </c>
      <c r="E105" s="1" t="str">
        <f>VLOOKUP(Table1[[#This Row],[Navn DK]],product_nodes_new_id!A:B,2,FALSE)</f>
        <v>e9abdab3-a5a1-56bf-8052-085f963d06ad</v>
      </c>
      <c r="F105" s="1">
        <v>1.353</v>
      </c>
      <c r="G105" s="1">
        <v>4.07E-2</v>
      </c>
      <c r="H105" s="1">
        <v>0.5181</v>
      </c>
      <c r="I105" s="1">
        <v>-0.14940000000000001</v>
      </c>
      <c r="J105" s="1">
        <v>1</v>
      </c>
      <c r="K105" s="1" t="s">
        <v>1272</v>
      </c>
      <c r="L105" s="1">
        <v>7.9</v>
      </c>
      <c r="M105" s="1" t="s">
        <v>23</v>
      </c>
      <c r="N105" s="3" t="s">
        <v>128</v>
      </c>
      <c r="O105" s="1"/>
    </row>
    <row r="106" spans="1:15" x14ac:dyDescent="0.25">
      <c r="A106" s="2" t="s">
        <v>393</v>
      </c>
      <c r="B106" s="1" t="s">
        <v>312</v>
      </c>
      <c r="C106" s="1" t="s">
        <v>394</v>
      </c>
      <c r="D106" s="1" t="s">
        <v>1559</v>
      </c>
      <c r="E106" s="1" t="str">
        <f>VLOOKUP(Table1[[#This Row],[Navn DK]],product_nodes_new_id!A:B,2,FALSE)</f>
        <v>6a7d710d-9aab-5f3e-bf94-65e22b28d98a</v>
      </c>
      <c r="F106" s="1">
        <v>0.25909606690398801</v>
      </c>
      <c r="G106" s="1">
        <v>0</v>
      </c>
      <c r="H106" s="1">
        <v>1.7601035296446899E-2</v>
      </c>
      <c r="I106" s="1">
        <v>0</v>
      </c>
      <c r="J106" s="1">
        <v>1</v>
      </c>
      <c r="K106" s="1" t="s">
        <v>16</v>
      </c>
      <c r="L106" s="1">
        <v>1</v>
      </c>
      <c r="M106" s="1" t="s">
        <v>17</v>
      </c>
      <c r="N106" s="3" t="s">
        <v>1137</v>
      </c>
      <c r="O106" s="1"/>
    </row>
    <row r="107" spans="1:15" x14ac:dyDescent="0.25">
      <c r="A107" s="2" t="s">
        <v>437</v>
      </c>
      <c r="B107" s="1" t="s">
        <v>312</v>
      </c>
      <c r="C107" s="1" t="s">
        <v>438</v>
      </c>
      <c r="D107" s="1" t="s">
        <v>1561</v>
      </c>
      <c r="E107" s="1" t="str">
        <f>VLOOKUP(Table1[[#This Row],[Navn DK]],product_nodes_new_id!A:B,2,FALSE)</f>
        <v>d5cf33f5-a025-5000-a1dd-eb7741310364</v>
      </c>
      <c r="F107" s="1">
        <v>2.1562188544713401E-3</v>
      </c>
      <c r="G107" s="1">
        <v>0</v>
      </c>
      <c r="H107" s="1">
        <v>1.6092731618195199E-2</v>
      </c>
      <c r="I107" s="1">
        <v>0</v>
      </c>
      <c r="J107" s="1">
        <v>1</v>
      </c>
      <c r="K107" s="1" t="s">
        <v>16</v>
      </c>
      <c r="L107" s="1">
        <v>1</v>
      </c>
      <c r="M107" s="1" t="s">
        <v>17</v>
      </c>
      <c r="N107" s="3" t="s">
        <v>1150</v>
      </c>
      <c r="O107" s="1"/>
    </row>
    <row r="108" spans="1:15" x14ac:dyDescent="0.25">
      <c r="A108" s="2" t="s">
        <v>673</v>
      </c>
      <c r="B108" s="1" t="s">
        <v>312</v>
      </c>
      <c r="C108" s="1" t="s">
        <v>674</v>
      </c>
      <c r="D108" s="21" t="s">
        <v>1571</v>
      </c>
      <c r="E108" s="1" t="str">
        <f>VLOOKUP(Table1[[#This Row],[Navn DK]],product_nodes_new_id!A:B,2,FALSE)</f>
        <v>3f396782-a9c4-565c-a174-a13639757ea9</v>
      </c>
      <c r="F108" s="1">
        <v>13.3460990504978</v>
      </c>
      <c r="G108" s="1">
        <v>0</v>
      </c>
      <c r="H108" s="1">
        <v>0.17601035296446901</v>
      </c>
      <c r="I108" s="1">
        <v>0</v>
      </c>
      <c r="J108" s="1">
        <v>1</v>
      </c>
      <c r="K108" s="1" t="s">
        <v>1272</v>
      </c>
      <c r="L108" s="1">
        <v>10</v>
      </c>
      <c r="M108" s="1" t="s">
        <v>23</v>
      </c>
      <c r="N108" s="3" t="s">
        <v>1204</v>
      </c>
      <c r="O108" s="1"/>
    </row>
    <row r="109" spans="1:15" x14ac:dyDescent="0.25">
      <c r="A109" s="2" t="s">
        <v>817</v>
      </c>
      <c r="B109" s="1" t="s">
        <v>312</v>
      </c>
      <c r="C109" s="1" t="s">
        <v>818</v>
      </c>
      <c r="D109" s="1" t="s">
        <v>1573</v>
      </c>
      <c r="E109" s="1" t="str">
        <f>VLOOKUP(Table1[[#This Row],[Navn DK]],product_nodes_new_id!A:B,2,FALSE)</f>
        <v>d4b7eef6-890b-52cb-a196-c75c7914dda0</v>
      </c>
      <c r="F109" s="1">
        <v>3893.0245792948899</v>
      </c>
      <c r="G109" s="1">
        <v>0</v>
      </c>
      <c r="H109" s="1">
        <v>47.773347436746597</v>
      </c>
      <c r="I109" s="1">
        <v>0</v>
      </c>
      <c r="J109" s="1">
        <v>1</v>
      </c>
      <c r="K109" s="1" t="s">
        <v>1274</v>
      </c>
      <c r="L109" s="1">
        <v>2500</v>
      </c>
      <c r="M109" s="1" t="s">
        <v>65</v>
      </c>
      <c r="N109" s="3" t="s">
        <v>1231</v>
      </c>
      <c r="O109" s="1"/>
    </row>
    <row r="110" spans="1:15" x14ac:dyDescent="0.25">
      <c r="A110" s="2" t="s">
        <v>613</v>
      </c>
      <c r="B110" s="1" t="s">
        <v>312</v>
      </c>
      <c r="C110" s="1" t="s">
        <v>614</v>
      </c>
      <c r="D110" s="1" t="s">
        <v>1577</v>
      </c>
      <c r="E110" s="1" t="str">
        <f>VLOOKUP(Table1[[#This Row],[Navn DK]],product_nodes_new_id!A:B,2,FALSE)</f>
        <v>24e7b768-b5b9-5204-8193-64101d7be1d3</v>
      </c>
      <c r="F110" s="1">
        <v>0.27416634326282102</v>
      </c>
      <c r="G110" s="1">
        <v>0</v>
      </c>
      <c r="H110" s="1">
        <v>2.11212423557363E-3</v>
      </c>
      <c r="I110" s="1">
        <v>0</v>
      </c>
      <c r="J110" s="1">
        <v>1</v>
      </c>
      <c r="K110" s="1" t="s">
        <v>1272</v>
      </c>
      <c r="L110" s="1">
        <v>0.12</v>
      </c>
      <c r="M110" s="1" t="s">
        <v>23</v>
      </c>
      <c r="N110" s="3" t="s">
        <v>1198</v>
      </c>
      <c r="O110" s="1"/>
    </row>
    <row r="111" spans="1:15" x14ac:dyDescent="0.25">
      <c r="A111" s="2" t="s">
        <v>472</v>
      </c>
      <c r="B111" s="1" t="s">
        <v>312</v>
      </c>
      <c r="C111" s="1" t="s">
        <v>473</v>
      </c>
      <c r="D111" s="1" t="s">
        <v>1575</v>
      </c>
      <c r="E111" s="1" t="str">
        <f>VLOOKUP(Table1[[#This Row],[Navn DK]],product_nodes_new_id!A:B,2,FALSE)</f>
        <v>7d47b8da-1681-5b4c-86b1-fe8d9875e63f</v>
      </c>
      <c r="F111" s="1">
        <v>3.32287400811909</v>
      </c>
      <c r="G111" s="1">
        <v>1.5959100407197799</v>
      </c>
      <c r="H111" s="1">
        <v>0</v>
      </c>
      <c r="I111" s="1">
        <v>-0.46631274288536501</v>
      </c>
      <c r="J111" s="1">
        <v>1</v>
      </c>
      <c r="K111" s="1" t="s">
        <v>16</v>
      </c>
      <c r="L111" s="1">
        <v>1400</v>
      </c>
      <c r="M111" s="1" t="s">
        <v>65</v>
      </c>
      <c r="N111" s="3" t="s">
        <v>1161</v>
      </c>
      <c r="O111" s="1"/>
    </row>
    <row r="112" spans="1:15" x14ac:dyDescent="0.25">
      <c r="A112" s="2" t="s">
        <v>603</v>
      </c>
      <c r="B112" s="1" t="s">
        <v>312</v>
      </c>
      <c r="C112" s="1" t="s">
        <v>604</v>
      </c>
      <c r="D112" s="1" t="s">
        <v>2195</v>
      </c>
      <c r="E112" s="1" t="s">
        <v>1580</v>
      </c>
      <c r="F112" s="1">
        <v>181.79</v>
      </c>
      <c r="G112" s="1">
        <v>3.38</v>
      </c>
      <c r="H112" s="1">
        <v>1.21</v>
      </c>
      <c r="I112" s="1">
        <v>-24.8</v>
      </c>
      <c r="J112" s="1">
        <v>1</v>
      </c>
      <c r="K112" s="1" t="s">
        <v>1272</v>
      </c>
      <c r="L112" s="1">
        <v>57.8</v>
      </c>
      <c r="M112" s="1" t="s">
        <v>23</v>
      </c>
      <c r="N112" s="3" t="s">
        <v>605</v>
      </c>
      <c r="O112" s="1"/>
    </row>
    <row r="113" spans="1:15" x14ac:dyDescent="0.25">
      <c r="A113" s="2" t="s">
        <v>411</v>
      </c>
      <c r="B113" s="1" t="s">
        <v>312</v>
      </c>
      <c r="C113" s="1" t="s">
        <v>412</v>
      </c>
      <c r="D113" s="1" t="s">
        <v>1581</v>
      </c>
      <c r="E113" s="1" t="str">
        <f>VLOOKUP(Table1[[#This Row],[Navn DK]],product_nodes_new_id!A:B,2,FALSE)</f>
        <v>883c1a29-7414-5f44-853e-ed0238c4a5ff</v>
      </c>
      <c r="F113" s="1">
        <v>0.71152116928688203</v>
      </c>
      <c r="G113" s="1">
        <v>0</v>
      </c>
      <c r="H113" s="1">
        <v>1.7601035296446899E-2</v>
      </c>
      <c r="I113" s="1">
        <v>0</v>
      </c>
      <c r="J113" s="1">
        <v>0.999999999999999</v>
      </c>
      <c r="K113" s="1" t="s">
        <v>16</v>
      </c>
      <c r="L113" s="1">
        <v>1550</v>
      </c>
      <c r="M113" s="1" t="s">
        <v>65</v>
      </c>
      <c r="N113" s="3" t="s">
        <v>413</v>
      </c>
      <c r="O113" s="1"/>
    </row>
    <row r="114" spans="1:15" x14ac:dyDescent="0.25">
      <c r="A114" s="2" t="s">
        <v>487</v>
      </c>
      <c r="B114" s="1" t="s">
        <v>312</v>
      </c>
      <c r="C114" s="1" t="s">
        <v>488</v>
      </c>
      <c r="D114" s="1" t="s">
        <v>1583</v>
      </c>
      <c r="E114" s="1" t="str">
        <f>VLOOKUP(Table1[[#This Row],[Navn DK]],product_nodes_new_id!A:B,2,FALSE)</f>
        <v>c2d1e0fe-c3db-5a81-9776-d74f87109e95</v>
      </c>
      <c r="F114" s="1">
        <v>0.58689950324471996</v>
      </c>
      <c r="G114" s="1">
        <v>0</v>
      </c>
      <c r="H114" s="1">
        <v>1.7601035296446899E-2</v>
      </c>
      <c r="I114" s="1">
        <v>0</v>
      </c>
      <c r="J114" s="1">
        <v>1</v>
      </c>
      <c r="K114" s="1" t="s">
        <v>16</v>
      </c>
      <c r="L114" s="1">
        <v>1</v>
      </c>
      <c r="M114" s="1" t="s">
        <v>17</v>
      </c>
      <c r="N114" s="3" t="s">
        <v>1149</v>
      </c>
      <c r="O114" s="1"/>
    </row>
    <row r="115" spans="1:15" x14ac:dyDescent="0.25">
      <c r="A115" s="2" t="s">
        <v>330</v>
      </c>
      <c r="B115" s="1" t="s">
        <v>312</v>
      </c>
      <c r="C115" s="1" t="s">
        <v>331</v>
      </c>
      <c r="D115" s="1" t="s">
        <v>1585</v>
      </c>
      <c r="E115" s="1" t="str">
        <f>VLOOKUP(Table1[[#This Row],[Navn DK]],product_nodes_new_id!A:B,2,FALSE)</f>
        <v>26f64a66-2a3d-56a1-afde-3c968c0888b5</v>
      </c>
      <c r="F115" s="1">
        <v>2.73184277721275E-2</v>
      </c>
      <c r="G115" s="1">
        <v>6.7659246166958103E-3</v>
      </c>
      <c r="H115" s="1">
        <v>0</v>
      </c>
      <c r="I115" s="1">
        <v>-1.5746196289599199E-3</v>
      </c>
      <c r="J115" s="1">
        <v>1</v>
      </c>
      <c r="K115" s="1" t="s">
        <v>16</v>
      </c>
      <c r="L115" s="1">
        <v>1400</v>
      </c>
      <c r="M115" s="1" t="s">
        <v>65</v>
      </c>
      <c r="N115" s="3" t="s">
        <v>1116</v>
      </c>
      <c r="O115" s="1"/>
    </row>
    <row r="116" spans="1:15" x14ac:dyDescent="0.25">
      <c r="A116" s="2" t="s">
        <v>519</v>
      </c>
      <c r="B116" s="1" t="s">
        <v>312</v>
      </c>
      <c r="C116" s="1" t="s">
        <v>328</v>
      </c>
      <c r="D116" s="1" t="s">
        <v>1587</v>
      </c>
      <c r="E116" s="1" t="str">
        <f>VLOOKUP(Table1[[#This Row],[Navn DK]],product_nodes_new_id!A:B,2,FALSE)</f>
        <v>8c46ae35-cf40-599c-9282-9615242f6fc0</v>
      </c>
      <c r="F116" s="1">
        <v>3.2837115249705603E-2</v>
      </c>
      <c r="G116" s="1">
        <v>7.3919647003698402E-3</v>
      </c>
      <c r="H116" s="1">
        <v>0</v>
      </c>
      <c r="I116" s="1">
        <v>-1.44323090284462E-3</v>
      </c>
      <c r="J116" s="1">
        <v>1</v>
      </c>
      <c r="K116" s="1" t="s">
        <v>16</v>
      </c>
      <c r="L116" s="1">
        <v>1850</v>
      </c>
      <c r="M116" s="1" t="s">
        <v>65</v>
      </c>
      <c r="N116" s="3" t="s">
        <v>329</v>
      </c>
      <c r="O116" s="1"/>
    </row>
    <row r="117" spans="1:15" x14ac:dyDescent="0.25">
      <c r="A117" s="2" t="s">
        <v>327</v>
      </c>
      <c r="B117" s="1" t="s">
        <v>312</v>
      </c>
      <c r="C117" s="1" t="s">
        <v>328</v>
      </c>
      <c r="D117" s="1" t="s">
        <v>1589</v>
      </c>
      <c r="E117" s="1" t="str">
        <f>VLOOKUP(Table1[[#This Row],[Navn DK]],product_nodes_new_id!A:B,2,FALSE)</f>
        <v>1cf0bed4-b3d8-537b-8656-e5d1fecc0544</v>
      </c>
      <c r="F117" s="1">
        <v>3.2837115249705603E-2</v>
      </c>
      <c r="G117" s="1">
        <v>7.3919647003698402E-3</v>
      </c>
      <c r="H117" s="1">
        <v>0</v>
      </c>
      <c r="I117" s="1">
        <v>-1.44323090284462E-3</v>
      </c>
      <c r="J117" s="1">
        <v>1</v>
      </c>
      <c r="K117" s="1" t="s">
        <v>16</v>
      </c>
      <c r="L117" s="1">
        <v>1850</v>
      </c>
      <c r="M117" s="1" t="s">
        <v>65</v>
      </c>
      <c r="N117" s="3" t="s">
        <v>329</v>
      </c>
      <c r="O117" s="1"/>
    </row>
    <row r="118" spans="1:15" x14ac:dyDescent="0.25">
      <c r="A118" s="2" t="s">
        <v>499</v>
      </c>
      <c r="B118" s="1" t="s">
        <v>312</v>
      </c>
      <c r="C118" s="1" t="s">
        <v>500</v>
      </c>
      <c r="D118" s="1" t="s">
        <v>1591</v>
      </c>
      <c r="E118" s="1" t="str">
        <f>VLOOKUP(Table1[[#This Row],[Navn DK]],product_nodes_new_id!A:B,2,FALSE)</f>
        <v>30dc885f-9070-5b40-a4d7-efbaeed9e024</v>
      </c>
      <c r="F118" s="1">
        <v>2.73184277721275E-2</v>
      </c>
      <c r="G118" s="1">
        <v>6.7659246166958103E-3</v>
      </c>
      <c r="H118" s="1">
        <v>0</v>
      </c>
      <c r="I118" s="1">
        <v>-1.5746196289599199E-3</v>
      </c>
      <c r="J118" s="1">
        <v>1</v>
      </c>
      <c r="K118" s="1" t="s">
        <v>16</v>
      </c>
      <c r="L118" s="1">
        <v>1</v>
      </c>
      <c r="M118" s="1" t="s">
        <v>17</v>
      </c>
      <c r="N118" s="3" t="s">
        <v>1170</v>
      </c>
      <c r="O118" s="1"/>
    </row>
    <row r="119" spans="1:15" x14ac:dyDescent="0.25">
      <c r="A119" s="2" t="s">
        <v>332</v>
      </c>
      <c r="B119" s="1" t="s">
        <v>312</v>
      </c>
      <c r="C119" s="1" t="s">
        <v>333</v>
      </c>
      <c r="D119" s="1" t="s">
        <v>1593</v>
      </c>
      <c r="E119" s="1" t="str">
        <f>VLOOKUP(Table1[[#This Row],[Navn DK]],product_nodes_new_id!A:B,2,FALSE)</f>
        <v>3d8cc01e-560b-5539-aa75-676489462161</v>
      </c>
      <c r="F119" s="1">
        <v>1.53569520186568</v>
      </c>
      <c r="G119" s="1">
        <v>0</v>
      </c>
      <c r="H119" s="1">
        <v>0</v>
      </c>
      <c r="I119" s="1">
        <v>0.120389133764673</v>
      </c>
      <c r="J119" s="1">
        <v>1</v>
      </c>
      <c r="K119" s="1" t="s">
        <v>16</v>
      </c>
      <c r="L119" s="1">
        <v>1</v>
      </c>
      <c r="M119" s="1" t="s">
        <v>17</v>
      </c>
      <c r="N119" s="3" t="s">
        <v>1117</v>
      </c>
      <c r="O119" s="1"/>
    </row>
    <row r="120" spans="1:15" x14ac:dyDescent="0.25">
      <c r="A120" s="2" t="s">
        <v>670</v>
      </c>
      <c r="B120" s="1" t="s">
        <v>312</v>
      </c>
      <c r="C120" s="1" t="s">
        <v>671</v>
      </c>
      <c r="D120" s="21" t="s">
        <v>1595</v>
      </c>
      <c r="E120" s="1" t="str">
        <f>VLOOKUP(Table1[[#This Row],[Navn DK]],product_nodes_new_id!A:B,2,FALSE)</f>
        <v>e5265018-9852-5942-ac58-6c35ba0b67b9</v>
      </c>
      <c r="F120" s="1">
        <v>5.9662952261162596</v>
      </c>
      <c r="G120" s="1">
        <v>6.6745787599555104</v>
      </c>
      <c r="H120" s="1">
        <v>3.3441967063249098E-3</v>
      </c>
      <c r="I120" s="1">
        <v>-2.1318502389937799</v>
      </c>
      <c r="J120" s="1">
        <v>1</v>
      </c>
      <c r="K120" s="1" t="s">
        <v>1272</v>
      </c>
      <c r="L120" s="1">
        <v>1.9</v>
      </c>
      <c r="M120" s="1" t="s">
        <v>23</v>
      </c>
      <c r="N120" s="3" t="s">
        <v>672</v>
      </c>
      <c r="O120" s="1"/>
    </row>
    <row r="121" spans="1:15" x14ac:dyDescent="0.25">
      <c r="A121" s="2" t="s">
        <v>744</v>
      </c>
      <c r="B121" s="1" t="s">
        <v>312</v>
      </c>
      <c r="C121" s="1" t="s">
        <v>745</v>
      </c>
      <c r="D121" s="21" t="s">
        <v>1597</v>
      </c>
      <c r="E121" s="1" t="str">
        <f>VLOOKUP(Table1[[#This Row],[Navn DK]],product_nodes_new_id!A:B,2,FALSE)</f>
        <v>16553ee7-3c92-53b5-a44d-b624fada110e</v>
      </c>
      <c r="F121" s="1">
        <v>21.731037209655099</v>
      </c>
      <c r="G121" s="1">
        <v>3.16164257050524</v>
      </c>
      <c r="H121" s="1">
        <v>1.0032590118974701E-2</v>
      </c>
      <c r="I121" s="1">
        <v>-5.0562312763584103</v>
      </c>
      <c r="J121" s="1">
        <v>1</v>
      </c>
      <c r="K121" s="1" t="s">
        <v>1272</v>
      </c>
      <c r="L121" s="1">
        <v>5.7</v>
      </c>
      <c r="M121" s="1" t="s">
        <v>23</v>
      </c>
      <c r="N121" s="3" t="s">
        <v>746</v>
      </c>
      <c r="O121" s="1"/>
    </row>
    <row r="122" spans="1:15" x14ac:dyDescent="0.25">
      <c r="A122" s="2" t="s">
        <v>728</v>
      </c>
      <c r="B122" s="1" t="s">
        <v>312</v>
      </c>
      <c r="C122" s="1" t="s">
        <v>729</v>
      </c>
      <c r="D122" s="21" t="s">
        <v>1599</v>
      </c>
      <c r="E122" s="1" t="str">
        <f>VLOOKUP(Table1[[#This Row],[Navn DK]],product_nodes_new_id!A:B,2,FALSE)</f>
        <v>4972470a-8f44-5c9f-b18a-70018cdc1c8b</v>
      </c>
      <c r="F122" s="1">
        <v>12.6474949941588</v>
      </c>
      <c r="G122" s="1">
        <v>3.16164257050524</v>
      </c>
      <c r="H122" s="1">
        <v>5.8083416478274799E-3</v>
      </c>
      <c r="I122" s="1">
        <v>-3.0330275368882602</v>
      </c>
      <c r="J122" s="1">
        <v>1</v>
      </c>
      <c r="K122" s="1" t="s">
        <v>1272</v>
      </c>
      <c r="L122" s="1">
        <v>3.3</v>
      </c>
      <c r="M122" s="1" t="s">
        <v>23</v>
      </c>
      <c r="N122" s="3" t="s">
        <v>730</v>
      </c>
      <c r="O122" s="1"/>
    </row>
    <row r="123" spans="1:15" x14ac:dyDescent="0.25">
      <c r="A123" s="2" t="s">
        <v>658</v>
      </c>
      <c r="B123" s="1" t="s">
        <v>312</v>
      </c>
      <c r="C123" s="1" t="s">
        <v>659</v>
      </c>
      <c r="D123" s="21" t="s">
        <v>1601</v>
      </c>
      <c r="E123" s="1" t="str">
        <f>VLOOKUP(Table1[[#This Row],[Navn DK]],product_nodes_new_id!A:B,2,FALSE)</f>
        <v>c9105cf8-dd7e-5574-8fd9-62ac1970953c</v>
      </c>
      <c r="F123" s="1">
        <v>4.8485360188164002</v>
      </c>
      <c r="G123" s="1">
        <v>4.9181106652303797</v>
      </c>
      <c r="H123" s="1">
        <v>2.4641449415025701E-3</v>
      </c>
      <c r="I123" s="1">
        <v>-1.5708370182059399</v>
      </c>
      <c r="J123" s="1">
        <v>1</v>
      </c>
      <c r="K123" s="1" t="s">
        <v>1272</v>
      </c>
      <c r="L123" s="1">
        <v>1.4</v>
      </c>
      <c r="M123" s="1" t="s">
        <v>23</v>
      </c>
      <c r="N123" s="3" t="s">
        <v>660</v>
      </c>
      <c r="O123" s="1"/>
    </row>
    <row r="124" spans="1:15" x14ac:dyDescent="0.25">
      <c r="A124" s="2" t="s">
        <v>667</v>
      </c>
      <c r="B124" s="1" t="s">
        <v>312</v>
      </c>
      <c r="C124" s="1" t="s">
        <v>668</v>
      </c>
      <c r="D124" s="21" t="s">
        <v>1603</v>
      </c>
      <c r="E124" s="1" t="str">
        <f>VLOOKUP(Table1[[#This Row],[Navn DK]],product_nodes_new_id!A:B,2,FALSE)</f>
        <v>2ba55bb2-dca3-5252-800f-35235bdb9f8b</v>
      </c>
      <c r="F124" s="1">
        <v>6.13311925897034</v>
      </c>
      <c r="G124" s="1">
        <v>6.6745787599555104</v>
      </c>
      <c r="H124" s="1">
        <v>3.3441967063249098E-3</v>
      </c>
      <c r="I124" s="1">
        <v>-2.1318502389937799</v>
      </c>
      <c r="J124" s="1">
        <v>1</v>
      </c>
      <c r="K124" s="1" t="s">
        <v>1272</v>
      </c>
      <c r="L124" s="1">
        <v>1.9</v>
      </c>
      <c r="M124" s="1" t="s">
        <v>23</v>
      </c>
      <c r="N124" s="3" t="s">
        <v>669</v>
      </c>
      <c r="O124" s="1"/>
    </row>
    <row r="125" spans="1:15" x14ac:dyDescent="0.25">
      <c r="A125" s="2" t="s">
        <v>661</v>
      </c>
      <c r="B125" s="1" t="s">
        <v>312</v>
      </c>
      <c r="C125" s="1" t="s">
        <v>662</v>
      </c>
      <c r="D125" s="21" t="s">
        <v>1605</v>
      </c>
      <c r="E125" s="1" t="str">
        <f>VLOOKUP(Table1[[#This Row],[Navn DK]],product_nodes_new_id!A:B,2,FALSE)</f>
        <v>e58f3e85-0f80-512a-ad6a-b85d48367902</v>
      </c>
      <c r="F125" s="1">
        <v>4.76512400238936</v>
      </c>
      <c r="G125" s="1">
        <v>4.9181106652303797</v>
      </c>
      <c r="H125" s="1">
        <v>2.4641449415025701E-3</v>
      </c>
      <c r="I125" s="1">
        <v>-1.5708370182059399</v>
      </c>
      <c r="J125" s="1">
        <v>1</v>
      </c>
      <c r="K125" s="1" t="s">
        <v>1272</v>
      </c>
      <c r="L125" s="1">
        <v>1.4</v>
      </c>
      <c r="M125" s="1" t="s">
        <v>23</v>
      </c>
      <c r="N125" s="3" t="s">
        <v>663</v>
      </c>
      <c r="O125" s="1"/>
    </row>
    <row r="126" spans="1:15" x14ac:dyDescent="0.25">
      <c r="A126" s="2" t="s">
        <v>731</v>
      </c>
      <c r="B126" s="1" t="s">
        <v>312</v>
      </c>
      <c r="C126" s="1" t="s">
        <v>732</v>
      </c>
      <c r="D126" s="1" t="s">
        <v>1607</v>
      </c>
      <c r="E126" s="1" t="str">
        <f>VLOOKUP(Table1[[#This Row],[Navn DK]],product_nodes_new_id!A:B,2,FALSE)</f>
        <v>1f2840fe-8c6e-506f-a77f-635ce798df6a</v>
      </c>
      <c r="F126" s="1">
        <v>11.5316838697784</v>
      </c>
      <c r="G126" s="1">
        <v>10.983617137024099</v>
      </c>
      <c r="H126" s="1">
        <v>0</v>
      </c>
      <c r="I126" s="1">
        <v>-5.4162359429590099</v>
      </c>
      <c r="J126" s="1">
        <v>1</v>
      </c>
      <c r="K126" s="1" t="s">
        <v>1272</v>
      </c>
      <c r="L126" s="1">
        <v>3.82</v>
      </c>
      <c r="M126" s="1" t="s">
        <v>23</v>
      </c>
      <c r="N126" s="3" t="s">
        <v>1215</v>
      </c>
      <c r="O126" s="1"/>
    </row>
    <row r="127" spans="1:15" x14ac:dyDescent="0.25">
      <c r="A127" s="2" t="s">
        <v>738</v>
      </c>
      <c r="B127" s="1" t="s">
        <v>312</v>
      </c>
      <c r="C127" s="1" t="s">
        <v>739</v>
      </c>
      <c r="D127" s="1" t="s">
        <v>1609</v>
      </c>
      <c r="E127" s="1" t="str">
        <f>VLOOKUP(Table1[[#This Row],[Navn DK]],product_nodes_new_id!A:B,2,FALSE)</f>
        <v>f13c5b6c-953d-5960-aec7-edfb4a84fa9d</v>
      </c>
      <c r="F127" s="1">
        <v>12.7677587902479</v>
      </c>
      <c r="G127" s="1">
        <v>13.858909581271201</v>
      </c>
      <c r="H127" s="1">
        <v>0</v>
      </c>
      <c r="I127" s="1">
        <v>-6.8340987552519499</v>
      </c>
      <c r="J127" s="1">
        <v>1</v>
      </c>
      <c r="K127" s="1" t="s">
        <v>1272</v>
      </c>
      <c r="L127" s="1">
        <v>4.82</v>
      </c>
      <c r="M127" s="1" t="s">
        <v>23</v>
      </c>
      <c r="N127" s="3" t="s">
        <v>740</v>
      </c>
      <c r="O127" s="1"/>
    </row>
    <row r="128" spans="1:15" x14ac:dyDescent="0.25">
      <c r="A128" s="2" t="s">
        <v>495</v>
      </c>
      <c r="B128" s="1" t="s">
        <v>312</v>
      </c>
      <c r="C128" s="1" t="s">
        <v>496</v>
      </c>
      <c r="D128" s="1" t="s">
        <v>1611</v>
      </c>
      <c r="E128" s="1" t="str">
        <f>VLOOKUP(Table1[[#This Row],[Navn DK]],product_nodes_new_id!A:B,2,FALSE)</f>
        <v>0dec7883-8ef2-5f24-a499-aa79051f7a79</v>
      </c>
      <c r="F128" s="1">
        <v>3.64710793989441</v>
      </c>
      <c r="G128" s="1">
        <v>3.03935040778808</v>
      </c>
      <c r="H128" s="1">
        <v>0</v>
      </c>
      <c r="I128" s="1">
        <v>-0.88821474835307601</v>
      </c>
      <c r="J128" s="1">
        <v>1</v>
      </c>
      <c r="K128" s="1" t="s">
        <v>16</v>
      </c>
      <c r="L128" s="1">
        <v>1</v>
      </c>
      <c r="M128" s="1" t="s">
        <v>17</v>
      </c>
      <c r="N128" s="3" t="s">
        <v>1168</v>
      </c>
      <c r="O128" s="1"/>
    </row>
    <row r="129" spans="1:15" x14ac:dyDescent="0.25">
      <c r="A129" s="2" t="s">
        <v>829</v>
      </c>
      <c r="B129" s="1" t="s">
        <v>312</v>
      </c>
      <c r="C129" s="1" t="s">
        <v>830</v>
      </c>
      <c r="D129" s="1" t="s">
        <v>1617</v>
      </c>
      <c r="E129" s="1" t="str">
        <f>VLOOKUP(Table1[[#This Row],[Navn DK]],product_nodes_new_id!A:B,2,FALSE)</f>
        <v>86786ae9-19dc-5c08-a0d6-cc1e71a9cbf4</v>
      </c>
      <c r="F129" s="1">
        <v>14.1699760966687</v>
      </c>
      <c r="G129" s="1">
        <v>82.193094492591101</v>
      </c>
      <c r="H129" s="1">
        <v>0</v>
      </c>
      <c r="I129" s="1">
        <v>-17.8765435852617</v>
      </c>
      <c r="J129" s="1">
        <v>1</v>
      </c>
      <c r="K129" s="1" t="s">
        <v>1274</v>
      </c>
      <c r="L129" s="1">
        <v>38</v>
      </c>
      <c r="M129" s="1" t="s">
        <v>65</v>
      </c>
      <c r="N129" s="3" t="s">
        <v>1234</v>
      </c>
      <c r="O129" s="1"/>
    </row>
    <row r="130" spans="1:15" x14ac:dyDescent="0.25">
      <c r="A130" s="2" t="s">
        <v>796</v>
      </c>
      <c r="B130" s="1" t="s">
        <v>312</v>
      </c>
      <c r="C130" s="1" t="s">
        <v>797</v>
      </c>
      <c r="D130" s="1" t="s">
        <v>1613</v>
      </c>
      <c r="E130" s="1" t="str">
        <f>VLOOKUP(Table1[[#This Row],[Navn DK]],product_nodes_new_id!A:B,2,FALSE)</f>
        <v>e714ed2e-3f08-50fe-af53-45ca0d6d0b87</v>
      </c>
      <c r="F130" s="1">
        <v>-239.96885367168801</v>
      </c>
      <c r="G130" s="1">
        <v>2332.5990907320702</v>
      </c>
      <c r="H130" s="1">
        <v>0</v>
      </c>
      <c r="I130" s="1">
        <v>-544.189755021309</v>
      </c>
      <c r="J130" s="1">
        <v>1</v>
      </c>
      <c r="K130" s="1" t="s">
        <v>1274</v>
      </c>
      <c r="L130" s="1">
        <v>1400</v>
      </c>
      <c r="M130" s="1" t="s">
        <v>65</v>
      </c>
      <c r="N130" s="3" t="s">
        <v>1225</v>
      </c>
      <c r="O130" s="1"/>
    </row>
    <row r="131" spans="1:15" x14ac:dyDescent="0.25">
      <c r="A131" s="2" t="s">
        <v>45</v>
      </c>
      <c r="B131" s="1" t="s">
        <v>14</v>
      </c>
      <c r="C131" s="1" t="s">
        <v>21</v>
      </c>
      <c r="D131" s="1" t="s">
        <v>46</v>
      </c>
      <c r="E131" s="1" t="s">
        <v>2224</v>
      </c>
      <c r="F131" s="1">
        <v>49.8</v>
      </c>
      <c r="G131" s="1">
        <v>1.04</v>
      </c>
      <c r="H131" s="1">
        <v>0.76</v>
      </c>
      <c r="I131" s="19">
        <v>-0.70499999999999996</v>
      </c>
      <c r="J131" s="1">
        <v>1</v>
      </c>
      <c r="K131" s="1" t="s">
        <v>1272</v>
      </c>
      <c r="L131" s="1">
        <v>344.6</v>
      </c>
      <c r="M131" s="1" t="s">
        <v>23</v>
      </c>
      <c r="N131" s="3" t="s">
        <v>47</v>
      </c>
      <c r="O131" s="1"/>
    </row>
    <row r="132" spans="1:15" x14ac:dyDescent="0.25">
      <c r="A132" s="2" t="s">
        <v>54</v>
      </c>
      <c r="B132" s="1" t="s">
        <v>14</v>
      </c>
      <c r="C132" s="1" t="s">
        <v>21</v>
      </c>
      <c r="D132" s="1" t="s">
        <v>55</v>
      </c>
      <c r="E132" s="1" t="s">
        <v>2225</v>
      </c>
      <c r="F132" s="17">
        <v>67.900000000000006</v>
      </c>
      <c r="G132" s="1">
        <v>1.37</v>
      </c>
      <c r="H132" s="18">
        <v>1</v>
      </c>
      <c r="I132" s="1">
        <v>-0.92500000000000004</v>
      </c>
      <c r="J132" s="1">
        <v>1</v>
      </c>
      <c r="K132" s="1" t="s">
        <v>1272</v>
      </c>
      <c r="L132" s="1">
        <v>451.4</v>
      </c>
      <c r="M132" s="1" t="s">
        <v>23</v>
      </c>
      <c r="N132" s="3" t="s">
        <v>47</v>
      </c>
      <c r="O132" s="1"/>
    </row>
    <row r="133" spans="1:15" x14ac:dyDescent="0.25">
      <c r="A133" s="2" t="s">
        <v>56</v>
      </c>
      <c r="B133" s="1" t="s">
        <v>14</v>
      </c>
      <c r="C133" s="1" t="s">
        <v>21</v>
      </c>
      <c r="D133" s="1" t="s">
        <v>57</v>
      </c>
      <c r="E133" s="1" t="s">
        <v>2223</v>
      </c>
      <c r="F133" s="1">
        <v>66.400000000000006</v>
      </c>
      <c r="G133" s="1">
        <v>1.4</v>
      </c>
      <c r="H133" s="1">
        <v>1.03</v>
      </c>
      <c r="I133" s="19">
        <v>-0.95299999999999996</v>
      </c>
      <c r="J133" s="1">
        <v>1</v>
      </c>
      <c r="K133" s="1" t="s">
        <v>1272</v>
      </c>
      <c r="L133" s="1">
        <v>459.6</v>
      </c>
      <c r="M133" s="1" t="s">
        <v>23</v>
      </c>
      <c r="N133" s="3" t="s">
        <v>47</v>
      </c>
      <c r="O133" s="1"/>
    </row>
    <row r="134" spans="1:15" x14ac:dyDescent="0.25">
      <c r="A134" s="2" t="s">
        <v>827</v>
      </c>
      <c r="B134" s="1" t="s">
        <v>312</v>
      </c>
      <c r="C134" s="1" t="s">
        <v>828</v>
      </c>
      <c r="D134" s="1" t="s">
        <v>1621</v>
      </c>
      <c r="E134" s="1" t="str">
        <f>VLOOKUP(Table1[[#This Row],[Navn DK]],product_nodes_new_id!A:B,2,FALSE)</f>
        <v>c935c02d-6c76-53d9-be5c-11faf291f1b5</v>
      </c>
      <c r="F134" s="1">
        <v>33.821863366760603</v>
      </c>
      <c r="G134" s="1">
        <v>82.193094492591101</v>
      </c>
      <c r="H134" s="1">
        <v>0</v>
      </c>
      <c r="I134" s="1">
        <v>-17.8765435852617</v>
      </c>
      <c r="J134" s="1">
        <v>1</v>
      </c>
      <c r="K134" s="1" t="s">
        <v>1274</v>
      </c>
      <c r="L134" s="1">
        <v>38</v>
      </c>
      <c r="M134" s="1" t="s">
        <v>65</v>
      </c>
      <c r="N134" s="3" t="s">
        <v>1233</v>
      </c>
      <c r="O134" s="1"/>
    </row>
    <row r="135" spans="1:15" x14ac:dyDescent="0.25">
      <c r="A135" s="2" t="s">
        <v>815</v>
      </c>
      <c r="B135" s="1" t="s">
        <v>312</v>
      </c>
      <c r="C135" s="1" t="s">
        <v>816</v>
      </c>
      <c r="D135" s="1" t="s">
        <v>1625</v>
      </c>
      <c r="E135" s="1" t="str">
        <f>VLOOKUP(Table1[[#This Row],[Navn DK]],product_nodes_new_id!A:B,2,FALSE)</f>
        <v>c59da102-e025-57cf-bf6c-9e18e2fc65ec</v>
      </c>
      <c r="F135" s="1">
        <v>564.89547439491901</v>
      </c>
      <c r="G135" s="1">
        <v>5.9331920575832102</v>
      </c>
      <c r="H135" s="1">
        <v>0</v>
      </c>
      <c r="I135" s="1">
        <v>-0.32472695314003802</v>
      </c>
      <c r="J135" s="1">
        <v>1</v>
      </c>
      <c r="K135" s="1" t="s">
        <v>1274</v>
      </c>
      <c r="L135" s="1">
        <v>225</v>
      </c>
      <c r="M135" s="1" t="s">
        <v>65</v>
      </c>
      <c r="N135" s="3" t="s">
        <v>1230</v>
      </c>
      <c r="O135" s="1"/>
    </row>
    <row r="136" spans="1:15" x14ac:dyDescent="0.25">
      <c r="A136" s="2" t="s">
        <v>414</v>
      </c>
      <c r="B136" s="1" t="s">
        <v>312</v>
      </c>
      <c r="C136" s="1" t="s">
        <v>415</v>
      </c>
      <c r="D136" s="1" t="s">
        <v>1627</v>
      </c>
      <c r="E136" s="1" t="str">
        <f>VLOOKUP(Table1[[#This Row],[Navn DK]],product_nodes_new_id!A:B,2,FALSE)</f>
        <v>dadeb077-15dd-500b-92bc-3b9234bdf098</v>
      </c>
      <c r="F136" s="1">
        <v>0.10594139123455799</v>
      </c>
      <c r="G136" s="1">
        <v>0</v>
      </c>
      <c r="H136" s="1">
        <v>1.6092731618195199E-2</v>
      </c>
      <c r="I136" s="1">
        <v>0</v>
      </c>
      <c r="J136" s="1">
        <v>1</v>
      </c>
      <c r="K136" s="1" t="s">
        <v>16</v>
      </c>
      <c r="L136" s="1">
        <v>1500</v>
      </c>
      <c r="M136" s="1" t="s">
        <v>65</v>
      </c>
      <c r="N136" s="3" t="s">
        <v>1143</v>
      </c>
      <c r="O136" s="1"/>
    </row>
    <row r="137" spans="1:15" x14ac:dyDescent="0.25">
      <c r="A137" s="2" t="s">
        <v>455</v>
      </c>
      <c r="B137" s="1" t="s">
        <v>312</v>
      </c>
      <c r="C137" s="1" t="s">
        <v>456</v>
      </c>
      <c r="D137" s="1" t="s">
        <v>1629</v>
      </c>
      <c r="E137" s="1" t="str">
        <f>VLOOKUP(Table1[[#This Row],[Navn DK]],product_nodes_new_id!A:B,2,FALSE)</f>
        <v>8a038f5e-0aef-5f49-a79f-3ea147c91718</v>
      </c>
      <c r="F137" s="1">
        <v>1.4623133977882901</v>
      </c>
      <c r="G137" s="1">
        <v>0</v>
      </c>
      <c r="H137" s="1">
        <v>0</v>
      </c>
      <c r="I137" s="1">
        <v>0</v>
      </c>
      <c r="J137" s="1">
        <v>1</v>
      </c>
      <c r="K137" s="1" t="s">
        <v>16</v>
      </c>
      <c r="L137" s="1">
        <v>1</v>
      </c>
      <c r="M137" s="1" t="s">
        <v>17</v>
      </c>
      <c r="N137" s="3" t="s">
        <v>457</v>
      </c>
      <c r="O137" s="1"/>
    </row>
    <row r="138" spans="1:15" x14ac:dyDescent="0.25">
      <c r="A138" s="2" t="s">
        <v>294</v>
      </c>
      <c r="B138" s="1" t="s">
        <v>126</v>
      </c>
      <c r="C138" s="1" t="s">
        <v>21</v>
      </c>
      <c r="D138" s="1" t="s">
        <v>1631</v>
      </c>
      <c r="E138" s="1" t="str">
        <f>VLOOKUP(Table1[[#This Row],[Navn DK]],product_nodes_new_id!A:B,2,FALSE)</f>
        <v>198b40b0-af2f-53e9-990b-08fa862e069b</v>
      </c>
      <c r="F138" s="1">
        <v>273.90000000000003</v>
      </c>
      <c r="G138" s="1">
        <v>2.9810000000000003</v>
      </c>
      <c r="H138" s="1">
        <v>0.90420000000000011</v>
      </c>
      <c r="I138" s="1">
        <v>-1.8180000000000001</v>
      </c>
      <c r="J138" s="1">
        <v>1</v>
      </c>
      <c r="K138" s="1" t="s">
        <v>283</v>
      </c>
      <c r="L138" s="1">
        <v>1850</v>
      </c>
      <c r="M138" s="1" t="s">
        <v>65</v>
      </c>
      <c r="N138" s="3" t="s">
        <v>128</v>
      </c>
      <c r="O138" s="1"/>
    </row>
    <row r="139" spans="1:15" x14ac:dyDescent="0.25">
      <c r="A139" s="2" t="s">
        <v>806</v>
      </c>
      <c r="B139" s="1" t="s">
        <v>312</v>
      </c>
      <c r="C139" s="1" t="s">
        <v>807</v>
      </c>
      <c r="D139" s="1" t="s">
        <v>1635</v>
      </c>
      <c r="E139" s="1" t="str">
        <f>VLOOKUP(Table1[[#This Row],[Navn DK]],product_nodes_new_id!A:B,2,FALSE)</f>
        <v>b023edd9-074f-5e9d-a870-c67b82d03c3e</v>
      </c>
      <c r="F139" s="1">
        <v>397.70860100765202</v>
      </c>
      <c r="G139" s="1">
        <v>0</v>
      </c>
      <c r="H139" s="1">
        <v>28.966916912751302</v>
      </c>
      <c r="I139" s="1">
        <v>0</v>
      </c>
      <c r="J139" s="1">
        <v>1</v>
      </c>
      <c r="K139" s="1" t="s">
        <v>1274</v>
      </c>
      <c r="L139" s="1">
        <v>1800</v>
      </c>
      <c r="M139" s="1" t="s">
        <v>65</v>
      </c>
      <c r="N139" s="3" t="s">
        <v>808</v>
      </c>
      <c r="O139" s="1"/>
    </row>
    <row r="140" spans="1:15" x14ac:dyDescent="0.25">
      <c r="A140" s="2" t="s">
        <v>875</v>
      </c>
      <c r="B140" s="1" t="s">
        <v>312</v>
      </c>
      <c r="C140" s="1" t="s">
        <v>876</v>
      </c>
      <c r="D140" s="1" t="s">
        <v>1637</v>
      </c>
      <c r="E140" s="1" t="str">
        <f>VLOOKUP(Table1[[#This Row],[Navn DK]],product_nodes_new_id!A:B,2,FALSE)</f>
        <v>5fb821fa-d4d2-5cc1-8ea8-8c158e2c9b81</v>
      </c>
      <c r="F140" s="1">
        <v>192.989753658192</v>
      </c>
      <c r="G140" s="1">
        <v>0</v>
      </c>
      <c r="H140" s="1">
        <v>14.483458456375701</v>
      </c>
      <c r="I140" s="1">
        <v>0</v>
      </c>
      <c r="J140" s="1">
        <v>1</v>
      </c>
      <c r="K140" s="1" t="s">
        <v>1274</v>
      </c>
      <c r="L140" s="1">
        <v>900</v>
      </c>
      <c r="M140" s="1" t="s">
        <v>65</v>
      </c>
      <c r="N140" s="3" t="s">
        <v>1245</v>
      </c>
      <c r="O140" s="1"/>
    </row>
    <row r="141" spans="1:15" x14ac:dyDescent="0.25">
      <c r="A141" s="2" t="s">
        <v>292</v>
      </c>
      <c r="B141" s="1" t="s">
        <v>126</v>
      </c>
      <c r="C141" s="1" t="s">
        <v>21</v>
      </c>
      <c r="D141" s="1" t="s">
        <v>293</v>
      </c>
      <c r="E141" s="1" t="str">
        <f>VLOOKUP(Table1[[#This Row],[Navn DK]],product_nodes_new_id!A:B,2,FALSE)</f>
        <v>af6c5484-67d6-5b7c-bd1b-516a0824261f</v>
      </c>
      <c r="F141" s="1">
        <v>229.9</v>
      </c>
      <c r="G141" s="1">
        <v>2.75</v>
      </c>
      <c r="H141" s="1">
        <v>15.400000000000002</v>
      </c>
      <c r="I141" s="1">
        <v>-4.0410000000000004</v>
      </c>
      <c r="J141" s="1">
        <v>1</v>
      </c>
      <c r="K141" s="1" t="s">
        <v>283</v>
      </c>
      <c r="L141" s="1">
        <v>1800</v>
      </c>
      <c r="M141" s="1" t="s">
        <v>65</v>
      </c>
      <c r="N141" s="3" t="s">
        <v>128</v>
      </c>
      <c r="O141" s="1"/>
    </row>
    <row r="142" spans="1:15" x14ac:dyDescent="0.25">
      <c r="A142" s="2" t="s">
        <v>703</v>
      </c>
      <c r="B142" s="1" t="s">
        <v>312</v>
      </c>
      <c r="C142" s="1" t="s">
        <v>704</v>
      </c>
      <c r="D142" s="1" t="s">
        <v>1640</v>
      </c>
      <c r="E142" s="1" t="str">
        <f>VLOOKUP(Table1[[#This Row],[Navn DK]],product_nodes_new_id!A:B,2,FALSE)</f>
        <v>25cf5586-4d7e-56f6-ad37-11cbd7df1f06</v>
      </c>
      <c r="F142" s="1">
        <v>6.04386505676288</v>
      </c>
      <c r="G142" s="1">
        <v>0.14783929400739701</v>
      </c>
      <c r="H142" s="1">
        <v>0</v>
      </c>
      <c r="I142" s="1">
        <v>-2.8864618056892302E-2</v>
      </c>
      <c r="J142" s="1">
        <v>1</v>
      </c>
      <c r="K142" s="1" t="s">
        <v>1272</v>
      </c>
      <c r="L142" s="1">
        <v>20</v>
      </c>
      <c r="M142" s="1" t="s">
        <v>23</v>
      </c>
      <c r="N142" s="3" t="s">
        <v>705</v>
      </c>
      <c r="O142" s="1"/>
    </row>
    <row r="143" spans="1:15" x14ac:dyDescent="0.25">
      <c r="A143" s="2" t="s">
        <v>706</v>
      </c>
      <c r="B143" s="1" t="s">
        <v>312</v>
      </c>
      <c r="C143" s="1" t="s">
        <v>707</v>
      </c>
      <c r="D143" s="1" t="s">
        <v>2196</v>
      </c>
      <c r="E143" s="1" t="s">
        <v>1512</v>
      </c>
      <c r="F143" s="1">
        <v>6.7140328077227096</v>
      </c>
      <c r="G143" s="1">
        <v>0.14783929400739701</v>
      </c>
      <c r="H143" s="1">
        <v>0</v>
      </c>
      <c r="I143" s="1">
        <v>-2.8864618056892302E-2</v>
      </c>
      <c r="J143" s="1">
        <v>1</v>
      </c>
      <c r="K143" s="1" t="s">
        <v>1272</v>
      </c>
      <c r="L143" s="1">
        <v>20</v>
      </c>
      <c r="M143" s="1" t="s">
        <v>23</v>
      </c>
      <c r="N143" s="3" t="s">
        <v>1213</v>
      </c>
      <c r="O143" s="1"/>
    </row>
    <row r="144" spans="1:15" x14ac:dyDescent="0.25">
      <c r="A144" s="2" t="s">
        <v>833</v>
      </c>
      <c r="B144" s="1" t="s">
        <v>312</v>
      </c>
      <c r="C144" s="1" t="s">
        <v>834</v>
      </c>
      <c r="D144" s="1" t="s">
        <v>2197</v>
      </c>
      <c r="E144" s="1" t="s">
        <v>1701</v>
      </c>
      <c r="F144" s="1">
        <v>-424.39939448679399</v>
      </c>
      <c r="G144" s="1">
        <v>1010.2276012290901</v>
      </c>
      <c r="H144" s="1">
        <v>0</v>
      </c>
      <c r="I144" s="1">
        <v>-235.72681462615799</v>
      </c>
      <c r="J144" s="1">
        <v>1</v>
      </c>
      <c r="K144" s="1" t="s">
        <v>1274</v>
      </c>
      <c r="L144" s="1">
        <v>465.7</v>
      </c>
      <c r="M144" s="1" t="s">
        <v>65</v>
      </c>
      <c r="N144" s="3" t="s">
        <v>1236</v>
      </c>
      <c r="O144" s="1"/>
    </row>
    <row r="145" spans="1:15" x14ac:dyDescent="0.25">
      <c r="A145" s="2" t="s">
        <v>460</v>
      </c>
      <c r="B145" s="1" t="s">
        <v>312</v>
      </c>
      <c r="C145" s="1" t="s">
        <v>461</v>
      </c>
      <c r="D145" s="1" t="s">
        <v>1642</v>
      </c>
      <c r="E145" s="1" t="str">
        <f>VLOOKUP(Table1[[#This Row],[Navn DK]],product_nodes_new_id!A:B,2,FALSE)</f>
        <v>ac7c107e-9855-5735-9518-b8de44f9da58</v>
      </c>
      <c r="F145" s="1">
        <v>7.91966213837126</v>
      </c>
      <c r="G145" s="1">
        <v>0</v>
      </c>
      <c r="H145" s="1">
        <v>0</v>
      </c>
      <c r="I145" s="1">
        <v>1.56527458263452</v>
      </c>
      <c r="J145" s="1">
        <v>1</v>
      </c>
      <c r="K145" s="1" t="s">
        <v>16</v>
      </c>
      <c r="L145" s="1">
        <v>1</v>
      </c>
      <c r="M145" s="1" t="s">
        <v>17</v>
      </c>
      <c r="N145" s="3" t="s">
        <v>1155</v>
      </c>
      <c r="O145" s="1"/>
    </row>
    <row r="146" spans="1:15" x14ac:dyDescent="0.25">
      <c r="A146" s="2" t="s">
        <v>927</v>
      </c>
      <c r="B146" s="1" t="s">
        <v>312</v>
      </c>
      <c r="C146" s="1" t="s">
        <v>928</v>
      </c>
      <c r="D146" s="1" t="s">
        <v>1650</v>
      </c>
      <c r="E146" s="1" t="str">
        <f>VLOOKUP(Table1[[#This Row],[Navn DK]],product_nodes_new_id!A:B,2,FALSE)</f>
        <v>02a89881-dd6c-56e7-877b-8f02a8a5b1de</v>
      </c>
      <c r="F146" s="1">
        <v>735.68107149194998</v>
      </c>
      <c r="G146" s="1">
        <v>20.5636838726133</v>
      </c>
      <c r="H146" s="1">
        <v>2.0304531661844201</v>
      </c>
      <c r="I146" s="1">
        <v>-152.24040177468399</v>
      </c>
      <c r="J146" s="1">
        <v>1</v>
      </c>
      <c r="K146" s="1" t="s">
        <v>119</v>
      </c>
      <c r="L146" s="1">
        <v>133</v>
      </c>
      <c r="M146" s="1" t="s">
        <v>120</v>
      </c>
      <c r="N146" s="3" t="s">
        <v>929</v>
      </c>
      <c r="O146" s="1"/>
    </row>
    <row r="147" spans="1:15" x14ac:dyDescent="0.25">
      <c r="A147" s="2" t="s">
        <v>1006</v>
      </c>
      <c r="B147" s="1" t="s">
        <v>312</v>
      </c>
      <c r="C147" s="1" t="s">
        <v>1007</v>
      </c>
      <c r="D147" s="1" t="s">
        <v>1652</v>
      </c>
      <c r="E147" s="1" t="str">
        <f>VLOOKUP(Table1[[#This Row],[Navn DK]],product_nodes_new_id!A:B,2,FALSE)</f>
        <v>2c23dbce-99ad-541f-8328-98492e74475c</v>
      </c>
      <c r="F147" s="1">
        <v>470.17211335951703</v>
      </c>
      <c r="G147" s="1">
        <v>13.1498936991372</v>
      </c>
      <c r="H147" s="1">
        <v>1.2973968296187399</v>
      </c>
      <c r="I147" s="1">
        <v>-97.303589973643994</v>
      </c>
      <c r="J147" s="1">
        <v>1</v>
      </c>
      <c r="K147" s="1" t="s">
        <v>119</v>
      </c>
      <c r="L147" s="1">
        <v>85</v>
      </c>
      <c r="M147" s="1" t="s">
        <v>120</v>
      </c>
      <c r="N147" s="3" t="s">
        <v>1008</v>
      </c>
      <c r="O147" s="1"/>
    </row>
    <row r="148" spans="1:15" x14ac:dyDescent="0.25">
      <c r="A148" s="2" t="s">
        <v>1042</v>
      </c>
      <c r="B148" s="1" t="s">
        <v>312</v>
      </c>
      <c r="C148" s="1" t="s">
        <v>1043</v>
      </c>
      <c r="D148" s="1" t="s">
        <v>1646</v>
      </c>
      <c r="E148" s="1" t="str">
        <f>VLOOKUP(Table1[[#This Row],[Navn DK]],product_nodes_new_id!A:B,2,FALSE)</f>
        <v>ab788b4f-890b-56e0-9f61-eac38e796adf</v>
      </c>
      <c r="F148" s="1">
        <v>3456.8601598684099</v>
      </c>
      <c r="G148" s="1">
        <v>152.20382792393599</v>
      </c>
      <c r="H148" s="1">
        <v>3.4316642349178599</v>
      </c>
      <c r="I148" s="1">
        <v>-1126.7649522561701</v>
      </c>
      <c r="J148" s="1">
        <v>1</v>
      </c>
      <c r="K148" s="1" t="s">
        <v>119</v>
      </c>
      <c r="L148" s="1">
        <v>974</v>
      </c>
      <c r="M148" s="1" t="s">
        <v>120</v>
      </c>
      <c r="N148" s="3" t="s">
        <v>1044</v>
      </c>
      <c r="O148" s="1"/>
    </row>
    <row r="149" spans="1:15" x14ac:dyDescent="0.25">
      <c r="A149" s="2" t="s">
        <v>982</v>
      </c>
      <c r="B149" s="1" t="s">
        <v>312</v>
      </c>
      <c r="C149" s="1" t="s">
        <v>983</v>
      </c>
      <c r="D149" s="1" t="s">
        <v>1648</v>
      </c>
      <c r="E149" s="1" t="str">
        <f>VLOOKUP(Table1[[#This Row],[Navn DK]],product_nodes_new_id!A:B,2,FALSE)</f>
        <v>951fe0b1-c251-5af0-bc0d-a8b9a9792e1f</v>
      </c>
      <c r="F149" s="1">
        <v>1256.71191085843</v>
      </c>
      <c r="G149" s="1">
        <v>44.0405527705922</v>
      </c>
      <c r="H149" s="1">
        <v>2.4916228614946401</v>
      </c>
      <c r="I149" s="1">
        <v>-325.95647533473101</v>
      </c>
      <c r="J149" s="1">
        <v>1</v>
      </c>
      <c r="K149" s="1" t="s">
        <v>119</v>
      </c>
      <c r="L149" s="1">
        <v>283</v>
      </c>
      <c r="M149" s="1" t="s">
        <v>120</v>
      </c>
      <c r="N149" s="3" t="s">
        <v>984</v>
      </c>
      <c r="O149" s="1"/>
    </row>
    <row r="150" spans="1:15" x14ac:dyDescent="0.25">
      <c r="A150" s="2" t="s">
        <v>303</v>
      </c>
      <c r="B150" s="1" t="s">
        <v>126</v>
      </c>
      <c r="C150" s="1" t="s">
        <v>21</v>
      </c>
      <c r="D150" s="1" t="s">
        <v>304</v>
      </c>
      <c r="E150" s="1" t="e">
        <f>VLOOKUP(Table1[[#This Row],[Navn DK]],product_nodes_new_id!A:B,2,FALSE)</f>
        <v>#N/A</v>
      </c>
      <c r="F150" s="1">
        <v>2191.75</v>
      </c>
      <c r="G150" s="1">
        <v>46.53</v>
      </c>
      <c r="H150" s="1">
        <v>45.870000000000005</v>
      </c>
      <c r="I150" s="1">
        <v>-18.720000000000002</v>
      </c>
      <c r="J150" s="1">
        <v>1</v>
      </c>
      <c r="K150" s="1" t="s">
        <v>283</v>
      </c>
      <c r="L150" s="1">
        <v>7850</v>
      </c>
      <c r="M150" s="1" t="s">
        <v>65</v>
      </c>
      <c r="N150" s="3" t="s">
        <v>128</v>
      </c>
      <c r="O150" s="1"/>
    </row>
    <row r="151" spans="1:15" x14ac:dyDescent="0.25">
      <c r="A151" s="2" t="s">
        <v>305</v>
      </c>
      <c r="B151" s="1" t="s">
        <v>126</v>
      </c>
      <c r="C151" s="1" t="s">
        <v>21</v>
      </c>
      <c r="D151" s="1" t="s">
        <v>306</v>
      </c>
      <c r="E151" s="1" t="e">
        <f>VLOOKUP(Table1[[#This Row],[Navn DK]],product_nodes_new_id!A:B,2,FALSE)</f>
        <v>#N/A</v>
      </c>
      <c r="F151" s="1">
        <v>2849.0000000000005</v>
      </c>
      <c r="G151" s="1">
        <v>2.0240000000000005</v>
      </c>
      <c r="H151" s="1">
        <v>0.1595</v>
      </c>
      <c r="I151" s="1">
        <v>-1188</v>
      </c>
      <c r="J151" s="1">
        <v>1</v>
      </c>
      <c r="K151" s="1" t="s">
        <v>283</v>
      </c>
      <c r="L151" s="1">
        <v>7850</v>
      </c>
      <c r="M151" s="1" t="s">
        <v>65</v>
      </c>
      <c r="N151" s="3" t="s">
        <v>128</v>
      </c>
      <c r="O151" s="1"/>
    </row>
    <row r="152" spans="1:15" x14ac:dyDescent="0.25">
      <c r="A152" s="2" t="s">
        <v>301</v>
      </c>
      <c r="B152" s="1" t="s">
        <v>126</v>
      </c>
      <c r="C152" s="1" t="s">
        <v>21</v>
      </c>
      <c r="D152" s="1" t="s">
        <v>302</v>
      </c>
      <c r="E152" s="1" t="e">
        <f>VLOOKUP(Table1[[#This Row],[Navn DK]],product_nodes_new_id!A:B,2,FALSE)</f>
        <v>#N/A</v>
      </c>
      <c r="F152" s="1">
        <v>1639.0000000000002</v>
      </c>
      <c r="G152" s="1">
        <v>52.58</v>
      </c>
      <c r="H152" s="1">
        <v>45.870000000000005</v>
      </c>
      <c r="I152" s="1">
        <v>-284.40000000000003</v>
      </c>
      <c r="J152" s="1">
        <v>1</v>
      </c>
      <c r="K152" s="1" t="s">
        <v>283</v>
      </c>
      <c r="L152" s="1">
        <v>7850</v>
      </c>
      <c r="M152" s="1" t="s">
        <v>65</v>
      </c>
      <c r="N152" s="3" t="s">
        <v>128</v>
      </c>
      <c r="O152" s="1"/>
    </row>
    <row r="153" spans="1:15" x14ac:dyDescent="0.25">
      <c r="A153" s="2" t="s">
        <v>69</v>
      </c>
      <c r="B153" s="1" t="s">
        <v>14</v>
      </c>
      <c r="C153" s="1" t="s">
        <v>21</v>
      </c>
      <c r="D153" s="1" t="s">
        <v>70</v>
      </c>
      <c r="E153" s="1" t="e">
        <f>VLOOKUP(Table1[[#This Row],[Navn DK]],product_nodes_new_id!A:B,2,FALSE)</f>
        <v>#N/A</v>
      </c>
      <c r="F153" s="1">
        <v>-670</v>
      </c>
      <c r="G153" s="1">
        <v>728</v>
      </c>
      <c r="H153" s="1">
        <v>0</v>
      </c>
      <c r="I153" s="1">
        <v>-371</v>
      </c>
      <c r="J153" s="1">
        <v>1</v>
      </c>
      <c r="K153" s="1" t="s">
        <v>1274</v>
      </c>
      <c r="L153" s="1">
        <v>456</v>
      </c>
      <c r="M153" s="1" t="s">
        <v>65</v>
      </c>
      <c r="N153" s="3" t="s">
        <v>71</v>
      </c>
      <c r="O153" s="1"/>
    </row>
    <row r="154" spans="1:15" x14ac:dyDescent="0.25">
      <c r="A154" s="2" t="s">
        <v>72</v>
      </c>
      <c r="B154" s="1" t="s">
        <v>14</v>
      </c>
      <c r="C154" s="1" t="s">
        <v>21</v>
      </c>
      <c r="D154" s="1" t="s">
        <v>73</v>
      </c>
      <c r="E154" s="1" t="e">
        <f>VLOOKUP(Table1[[#This Row],[Navn DK]],product_nodes_new_id!A:B,2,FALSE)</f>
        <v>#N/A</v>
      </c>
      <c r="F154" s="1">
        <v>-680</v>
      </c>
      <c r="G154" s="1">
        <v>728</v>
      </c>
      <c r="H154" s="1">
        <v>0</v>
      </c>
      <c r="I154" s="1">
        <v>-371</v>
      </c>
      <c r="J154" s="1">
        <v>1</v>
      </c>
      <c r="K154" s="1" t="s">
        <v>1274</v>
      </c>
      <c r="L154" s="1">
        <v>456</v>
      </c>
      <c r="M154" s="1" t="s">
        <v>65</v>
      </c>
      <c r="N154" s="3" t="s">
        <v>74</v>
      </c>
      <c r="O154" s="1"/>
    </row>
    <row r="155" spans="1:15" x14ac:dyDescent="0.25">
      <c r="A155" s="2" t="s">
        <v>84</v>
      </c>
      <c r="B155" s="1" t="s">
        <v>14</v>
      </c>
      <c r="C155" s="1" t="s">
        <v>21</v>
      </c>
      <c r="D155" s="1" t="s">
        <v>85</v>
      </c>
      <c r="E155" s="1" t="e">
        <f>VLOOKUP(Table1[[#This Row],[Navn DK]],product_nodes_new_id!A:B,2,FALSE)</f>
        <v>#N/A</v>
      </c>
      <c r="F155" s="1">
        <v>-652</v>
      </c>
      <c r="G155" s="1">
        <v>709</v>
      </c>
      <c r="H155" s="1">
        <v>0</v>
      </c>
      <c r="I155" s="1">
        <v>-425</v>
      </c>
      <c r="J155" s="1">
        <v>1</v>
      </c>
      <c r="K155" s="1" t="s">
        <v>1274</v>
      </c>
      <c r="L155" s="1">
        <v>536</v>
      </c>
      <c r="M155" s="1" t="s">
        <v>65</v>
      </c>
      <c r="N155" s="3" t="s">
        <v>86</v>
      </c>
      <c r="O155" s="1"/>
    </row>
    <row r="156" spans="1:15" x14ac:dyDescent="0.25">
      <c r="A156" s="2" t="s">
        <v>89</v>
      </c>
      <c r="B156" s="1" t="s">
        <v>14</v>
      </c>
      <c r="C156" s="1" t="s">
        <v>21</v>
      </c>
      <c r="D156" s="1" t="s">
        <v>90</v>
      </c>
      <c r="E156" s="1" t="e">
        <f>VLOOKUP(Table1[[#This Row],[Navn DK]],product_nodes_new_id!A:B,2,FALSE)</f>
        <v>#N/A</v>
      </c>
      <c r="F156" s="1">
        <v>-664</v>
      </c>
      <c r="G156" s="1">
        <v>709</v>
      </c>
      <c r="H156" s="1">
        <v>0</v>
      </c>
      <c r="I156" s="1">
        <v>-425</v>
      </c>
      <c r="J156" s="1">
        <v>1</v>
      </c>
      <c r="K156" s="1" t="s">
        <v>1274</v>
      </c>
      <c r="L156" s="1">
        <v>644</v>
      </c>
      <c r="M156" s="1" t="s">
        <v>65</v>
      </c>
      <c r="N156" s="3" t="s">
        <v>91</v>
      </c>
      <c r="O156" s="1"/>
    </row>
    <row r="157" spans="1:15" x14ac:dyDescent="0.25">
      <c r="A157" s="2" t="s">
        <v>1101</v>
      </c>
      <c r="B157" s="1" t="s">
        <v>1093</v>
      </c>
      <c r="C157" s="1" t="s">
        <v>21</v>
      </c>
      <c r="D157" s="1" t="s">
        <v>1102</v>
      </c>
      <c r="E157" s="1" t="e">
        <f>VLOOKUP(Table1[[#This Row],[Navn DK]],product_nodes_new_id!A:B,2,FALSE)</f>
        <v>#N/A</v>
      </c>
      <c r="F157" s="1">
        <v>4.7E-2</v>
      </c>
      <c r="G157" s="1">
        <v>5.2999999999999999E-2</v>
      </c>
      <c r="H157" s="1">
        <v>0</v>
      </c>
      <c r="I157" s="1">
        <v>-2.8000000000000001E-2</v>
      </c>
      <c r="J157" s="1"/>
      <c r="K157" s="1"/>
      <c r="L157" s="1">
        <v>0.14000000000000001</v>
      </c>
      <c r="M157" s="1" t="s">
        <v>23</v>
      </c>
      <c r="N157" s="3" t="s">
        <v>1094</v>
      </c>
      <c r="O157" s="1"/>
    </row>
    <row r="158" spans="1:15" x14ac:dyDescent="0.25">
      <c r="A158" s="2" t="s">
        <v>1103</v>
      </c>
      <c r="B158" s="1" t="s">
        <v>1093</v>
      </c>
      <c r="C158" s="1" t="s">
        <v>21</v>
      </c>
      <c r="D158" s="1" t="s">
        <v>1104</v>
      </c>
      <c r="E158" s="1" t="e">
        <f>VLOOKUP(Table1[[#This Row],[Navn DK]],product_nodes_new_id!A:B,2,FALSE)</f>
        <v>#N/A</v>
      </c>
      <c r="F158" s="1">
        <v>4.9000000000000002E-2</v>
      </c>
      <c r="G158" s="1">
        <v>1.0999999999999999E-2</v>
      </c>
      <c r="H158" s="1">
        <v>0</v>
      </c>
      <c r="I158" s="1">
        <v>-1.4E-2</v>
      </c>
      <c r="J158" s="1"/>
      <c r="K158" s="1"/>
      <c r="L158" s="1">
        <v>0.76</v>
      </c>
      <c r="M158" s="1" t="s">
        <v>23</v>
      </c>
      <c r="N158" s="3" t="s">
        <v>1094</v>
      </c>
      <c r="O158" s="1"/>
    </row>
    <row r="159" spans="1:15" x14ac:dyDescent="0.25">
      <c r="A159" s="2" t="s">
        <v>1105</v>
      </c>
      <c r="B159" s="1" t="s">
        <v>1093</v>
      </c>
      <c r="C159" s="1" t="s">
        <v>21</v>
      </c>
      <c r="D159" s="1" t="s">
        <v>1106</v>
      </c>
      <c r="E159" s="1" t="e">
        <f>VLOOKUP(Table1[[#This Row],[Navn DK]],product_nodes_new_id!A:B,2,FALSE)</f>
        <v>#N/A</v>
      </c>
      <c r="F159" s="1">
        <v>0.81499999999999995</v>
      </c>
      <c r="G159" s="1">
        <v>2.3E-2</v>
      </c>
      <c r="H159" s="1">
        <v>0</v>
      </c>
      <c r="I159" s="1">
        <v>-0.51700000000000002</v>
      </c>
      <c r="J159" s="1"/>
      <c r="K159" s="1"/>
      <c r="L159" s="1">
        <v>6.85</v>
      </c>
      <c r="M159" s="1" t="s">
        <v>23</v>
      </c>
      <c r="N159" s="3" t="s">
        <v>1094</v>
      </c>
      <c r="O159" s="1"/>
    </row>
    <row r="160" spans="1:15" x14ac:dyDescent="0.25">
      <c r="A160" s="2" t="s">
        <v>1083</v>
      </c>
      <c r="B160" s="1" t="s">
        <v>312</v>
      </c>
      <c r="C160" s="1" t="s">
        <v>598</v>
      </c>
      <c r="D160" s="1" t="s">
        <v>1656</v>
      </c>
      <c r="E160" s="1" t="str">
        <f>VLOOKUP(Table1[[#This Row],[Navn DK]],product_nodes_new_id!A:B,2,FALSE)</f>
        <v>c6cbc5a8-1d64-5fc8-bfe0-bacc507a68ba</v>
      </c>
      <c r="F160" s="1">
        <v>4.1236965738341604</v>
      </c>
      <c r="G160" s="1">
        <v>4.5905927364386896</v>
      </c>
      <c r="H160" s="1">
        <v>0</v>
      </c>
      <c r="I160" s="1">
        <v>-1.4055087595478599</v>
      </c>
      <c r="J160" s="1">
        <v>1</v>
      </c>
      <c r="K160" s="1" t="s">
        <v>1272</v>
      </c>
      <c r="L160" s="1">
        <v>3.1</v>
      </c>
      <c r="M160" s="1" t="s">
        <v>23</v>
      </c>
      <c r="N160" s="15" t="s">
        <v>599</v>
      </c>
      <c r="O160" s="1"/>
    </row>
    <row r="161" spans="1:15" x14ac:dyDescent="0.25">
      <c r="A161" s="2" t="s">
        <v>861</v>
      </c>
      <c r="B161" s="1" t="s">
        <v>312</v>
      </c>
      <c r="C161" s="1" t="s">
        <v>862</v>
      </c>
      <c r="D161" s="1" t="s">
        <v>1658</v>
      </c>
      <c r="E161" s="1" t="str">
        <f>VLOOKUP(Table1[[#This Row],[Navn DK]],product_nodes_new_id!A:B,2,FALSE)</f>
        <v>80010bba-6905-5d2e-bd28-df1afa28c367</v>
      </c>
      <c r="F161" s="1">
        <v>-86.428743294644804</v>
      </c>
      <c r="G161" s="1">
        <v>138.150616919285</v>
      </c>
      <c r="H161" s="1">
        <v>0</v>
      </c>
      <c r="I161" s="1">
        <v>-38.746561223627801</v>
      </c>
      <c r="J161" s="1">
        <v>1</v>
      </c>
      <c r="K161" s="1" t="s">
        <v>1274</v>
      </c>
      <c r="L161" s="1">
        <v>80</v>
      </c>
      <c r="M161" s="1" t="s">
        <v>65</v>
      </c>
      <c r="N161" s="3" t="s">
        <v>1241</v>
      </c>
      <c r="O161" s="1"/>
    </row>
    <row r="162" spans="1:15" x14ac:dyDescent="0.25">
      <c r="A162" s="2" t="s">
        <v>1071</v>
      </c>
      <c r="B162" s="1" t="s">
        <v>312</v>
      </c>
      <c r="C162" s="1" t="s">
        <v>1072</v>
      </c>
      <c r="D162" s="1" t="s">
        <v>1660</v>
      </c>
      <c r="E162" s="1" t="str">
        <f>VLOOKUP(Table1[[#This Row],[Navn DK]],product_nodes_new_id!A:B,2,FALSE)</f>
        <v>b1c3c51b-84c8-5166-9b4b-fac790aa1ab6</v>
      </c>
      <c r="F162" s="1">
        <v>-1.68073858802761</v>
      </c>
      <c r="G162" s="1">
        <v>3.0056984077746001</v>
      </c>
      <c r="H162" s="1">
        <v>0</v>
      </c>
      <c r="I162" s="1">
        <v>-0.64191333108980597</v>
      </c>
      <c r="J162" s="1">
        <v>1</v>
      </c>
      <c r="K162" s="1" t="s">
        <v>1272</v>
      </c>
      <c r="L162" s="1">
        <v>1.8</v>
      </c>
      <c r="M162" s="1" t="s">
        <v>23</v>
      </c>
      <c r="N162" s="3" t="s">
        <v>1073</v>
      </c>
      <c r="O162" s="1"/>
    </row>
    <row r="163" spans="1:15" x14ac:dyDescent="0.25">
      <c r="A163" s="2" t="s">
        <v>1080</v>
      </c>
      <c r="B163" s="1" t="s">
        <v>312</v>
      </c>
      <c r="C163" s="1" t="s">
        <v>1081</v>
      </c>
      <c r="D163" s="1" t="s">
        <v>1662</v>
      </c>
      <c r="E163" s="1" t="str">
        <f>VLOOKUP(Table1[[#This Row],[Navn DK]],product_nodes_new_id!A:B,2,FALSE)</f>
        <v>6894bbe0-b320-5356-ab7f-2185f3af3139</v>
      </c>
      <c r="F163" s="1">
        <v>-2.5211078820414099</v>
      </c>
      <c r="G163" s="1">
        <v>4.5085476116618999</v>
      </c>
      <c r="H163" s="1">
        <v>0</v>
      </c>
      <c r="I163" s="1">
        <v>-0.96286999663470896</v>
      </c>
      <c r="J163" s="1">
        <v>1</v>
      </c>
      <c r="K163" s="1" t="s">
        <v>1272</v>
      </c>
      <c r="L163" s="1">
        <v>2.7</v>
      </c>
      <c r="M163" s="1" t="s">
        <v>23</v>
      </c>
      <c r="N163" s="3" t="s">
        <v>1082</v>
      </c>
      <c r="O163" s="1"/>
    </row>
    <row r="164" spans="1:15" x14ac:dyDescent="0.25">
      <c r="A164" s="2" t="s">
        <v>1084</v>
      </c>
      <c r="B164" s="1" t="s">
        <v>312</v>
      </c>
      <c r="C164" s="1" t="s">
        <v>1085</v>
      </c>
      <c r="D164" s="1" t="s">
        <v>1664</v>
      </c>
      <c r="E164" s="1" t="str">
        <f>VLOOKUP(Table1[[#This Row],[Navn DK]],product_nodes_new_id!A:B,2,FALSE)</f>
        <v>4dcd9aa5-691e-51b5-b2f0-b241351cba9f</v>
      </c>
      <c r="F164" s="1">
        <v>-3.36147717605522</v>
      </c>
      <c r="G164" s="1">
        <v>6.0113968155492001</v>
      </c>
      <c r="H164" s="1">
        <v>0</v>
      </c>
      <c r="I164" s="1">
        <v>-1.2838266621796099</v>
      </c>
      <c r="J164" s="1">
        <v>1</v>
      </c>
      <c r="K164" s="1" t="s">
        <v>1272</v>
      </c>
      <c r="L164" s="1">
        <v>3.6</v>
      </c>
      <c r="M164" s="1" t="s">
        <v>23</v>
      </c>
      <c r="N164" s="3" t="s">
        <v>1086</v>
      </c>
      <c r="O164" s="1"/>
    </row>
    <row r="165" spans="1:15" x14ac:dyDescent="0.25">
      <c r="A165" s="2" t="s">
        <v>78</v>
      </c>
      <c r="B165" s="1" t="s">
        <v>14</v>
      </c>
      <c r="C165" s="1" t="s">
        <v>21</v>
      </c>
      <c r="D165" s="1" t="s">
        <v>79</v>
      </c>
      <c r="E165" s="1" t="e">
        <f>VLOOKUP(Table1[[#This Row],[Navn DK]],product_nodes_new_id!A:B,2,FALSE)</f>
        <v>#N/A</v>
      </c>
      <c r="F165" s="1">
        <v>-599</v>
      </c>
      <c r="G165" s="1">
        <v>743</v>
      </c>
      <c r="H165" s="1">
        <v>0</v>
      </c>
      <c r="I165" s="1">
        <v>-391</v>
      </c>
      <c r="J165" s="1">
        <v>1</v>
      </c>
      <c r="K165" s="1" t="s">
        <v>1274</v>
      </c>
      <c r="L165" s="1">
        <v>480</v>
      </c>
      <c r="M165" s="1" t="s">
        <v>65</v>
      </c>
      <c r="N165" s="3" t="s">
        <v>80</v>
      </c>
      <c r="O165" s="1"/>
    </row>
    <row r="166" spans="1:15" x14ac:dyDescent="0.25">
      <c r="A166" s="2" t="s">
        <v>75</v>
      </c>
      <c r="B166" s="1" t="s">
        <v>14</v>
      </c>
      <c r="C166" s="1" t="s">
        <v>21</v>
      </c>
      <c r="D166" s="1" t="s">
        <v>76</v>
      </c>
      <c r="E166" s="1" t="e">
        <f>VLOOKUP(Table1[[#This Row],[Navn DK]],product_nodes_new_id!A:B,2,FALSE)</f>
        <v>#N/A</v>
      </c>
      <c r="F166" s="18">
        <v>-664</v>
      </c>
      <c r="G166" s="1">
        <v>744</v>
      </c>
      <c r="H166" s="18">
        <v>0</v>
      </c>
      <c r="I166" s="1">
        <v>-387</v>
      </c>
      <c r="J166" s="1">
        <v>1</v>
      </c>
      <c r="K166" s="1" t="s">
        <v>1274</v>
      </c>
      <c r="L166" s="1">
        <v>470</v>
      </c>
      <c r="M166" s="1" t="s">
        <v>65</v>
      </c>
      <c r="N166" s="3" t="s">
        <v>77</v>
      </c>
      <c r="O166" s="1"/>
    </row>
    <row r="167" spans="1:15" x14ac:dyDescent="0.25">
      <c r="A167" s="2" t="s">
        <v>470</v>
      </c>
      <c r="B167" s="1" t="s">
        <v>312</v>
      </c>
      <c r="C167" s="1" t="s">
        <v>471</v>
      </c>
      <c r="D167" s="1" t="s">
        <v>1676</v>
      </c>
      <c r="E167" s="1" t="str">
        <f>VLOOKUP(Table1[[#This Row],[Navn DK]],product_nodes_new_id!A:B,2,FALSE)</f>
        <v>d27d7100-0188-5b96-8771-61dc229a9471</v>
      </c>
      <c r="F167" s="1">
        <v>1.0408680484269801</v>
      </c>
      <c r="G167" s="1">
        <v>0</v>
      </c>
      <c r="H167" s="1">
        <v>0</v>
      </c>
      <c r="I167" s="1">
        <v>-0.86161762700969302</v>
      </c>
      <c r="J167" s="1">
        <v>1</v>
      </c>
      <c r="K167" s="1" t="s">
        <v>16</v>
      </c>
      <c r="L167" s="1">
        <v>1</v>
      </c>
      <c r="M167" s="1" t="s">
        <v>17</v>
      </c>
      <c r="N167" s="3" t="s">
        <v>1160</v>
      </c>
      <c r="O167" s="1"/>
    </row>
    <row r="168" spans="1:15" x14ac:dyDescent="0.25">
      <c r="A168" s="2" t="s">
        <v>749</v>
      </c>
      <c r="B168" s="1" t="s">
        <v>312</v>
      </c>
      <c r="C168" s="1" t="s">
        <v>750</v>
      </c>
      <c r="D168" s="1" t="s">
        <v>1678</v>
      </c>
      <c r="E168" s="1" t="str">
        <f>VLOOKUP(Table1[[#This Row],[Navn DK]],product_nodes_new_id!A:B,2,FALSE)</f>
        <v>dd365182-6a26-5fb8-a848-275b2cb7c47f</v>
      </c>
      <c r="F168" s="1">
        <v>26.138319605728402</v>
      </c>
      <c r="G168" s="1">
        <v>0.38438216441923201</v>
      </c>
      <c r="H168" s="1">
        <v>0</v>
      </c>
      <c r="I168" s="1">
        <v>-7.5048006947920007E-2</v>
      </c>
      <c r="J168" s="1">
        <v>1</v>
      </c>
      <c r="K168" s="1" t="s">
        <v>1272</v>
      </c>
      <c r="L168" s="1">
        <v>52</v>
      </c>
      <c r="M168" s="1" t="s">
        <v>23</v>
      </c>
      <c r="N168" s="3" t="s">
        <v>1218</v>
      </c>
      <c r="O168" s="1"/>
    </row>
    <row r="169" spans="1:15" x14ac:dyDescent="0.25">
      <c r="A169" s="2" t="s">
        <v>550</v>
      </c>
      <c r="B169" s="1" t="s">
        <v>312</v>
      </c>
      <c r="C169" s="1" t="s">
        <v>420</v>
      </c>
      <c r="D169" s="1" t="s">
        <v>1680</v>
      </c>
      <c r="E169" s="1" t="str">
        <f>VLOOKUP(Table1[[#This Row],[Navn DK]],product_nodes_new_id!A:B,2,FALSE)</f>
        <v>c3f4f949-f7dc-5725-abf5-16d6b473e3e1</v>
      </c>
      <c r="F169" s="1">
        <v>11.029799404982001</v>
      </c>
      <c r="G169" s="1">
        <v>0</v>
      </c>
      <c r="H169" s="1">
        <v>0</v>
      </c>
      <c r="I169" s="1">
        <v>-9.1316798888821307</v>
      </c>
      <c r="J169" s="1">
        <v>1</v>
      </c>
      <c r="K169" s="1" t="s">
        <v>16</v>
      </c>
      <c r="L169" s="1">
        <v>1</v>
      </c>
      <c r="M169" s="1" t="s">
        <v>17</v>
      </c>
      <c r="N169" s="3" t="s">
        <v>421</v>
      </c>
      <c r="O169" s="1"/>
    </row>
    <row r="170" spans="1:15" x14ac:dyDescent="0.25">
      <c r="A170" s="2" t="s">
        <v>419</v>
      </c>
      <c r="B170" s="1" t="s">
        <v>312</v>
      </c>
      <c r="C170" s="1" t="s">
        <v>420</v>
      </c>
      <c r="D170" s="1" t="s">
        <v>1682</v>
      </c>
      <c r="E170" s="1" t="str">
        <f>VLOOKUP(Table1[[#This Row],[Navn DK]],product_nodes_new_id!A:B,2,FALSE)</f>
        <v>f59356e4-cc14-52e4-9ab2-2afe1daf1242</v>
      </c>
      <c r="F170" s="1">
        <v>11.029799404982001</v>
      </c>
      <c r="G170" s="1">
        <v>0</v>
      </c>
      <c r="H170" s="1">
        <v>0</v>
      </c>
      <c r="I170" s="1">
        <v>-9.1316798888821307</v>
      </c>
      <c r="J170" s="1">
        <v>1</v>
      </c>
      <c r="K170" s="1" t="s">
        <v>16</v>
      </c>
      <c r="L170" s="1">
        <v>1</v>
      </c>
      <c r="M170" s="1" t="s">
        <v>17</v>
      </c>
      <c r="N170" s="3" t="s">
        <v>421</v>
      </c>
      <c r="O170" s="1"/>
    </row>
    <row r="171" spans="1:15" x14ac:dyDescent="0.25">
      <c r="A171" s="2" t="s">
        <v>474</v>
      </c>
      <c r="B171" s="1" t="s">
        <v>312</v>
      </c>
      <c r="C171" s="1" t="s">
        <v>420</v>
      </c>
      <c r="D171" s="1" t="s">
        <v>1684</v>
      </c>
      <c r="E171" s="1" t="str">
        <f>VLOOKUP(Table1[[#This Row],[Navn DK]],product_nodes_new_id!A:B,2,FALSE)</f>
        <v>681d899b-9d38-5b55-9b62-28a95f804cfa</v>
      </c>
      <c r="F171" s="1">
        <v>11.029799404982001</v>
      </c>
      <c r="G171" s="1">
        <v>0</v>
      </c>
      <c r="H171" s="1">
        <v>0</v>
      </c>
      <c r="I171" s="1">
        <v>-9.1316798888821307</v>
      </c>
      <c r="J171" s="1">
        <v>1</v>
      </c>
      <c r="K171" s="1" t="s">
        <v>16</v>
      </c>
      <c r="L171" s="1">
        <v>1</v>
      </c>
      <c r="M171" s="1" t="s">
        <v>17</v>
      </c>
      <c r="N171" s="3" t="s">
        <v>421</v>
      </c>
      <c r="O171" s="1"/>
    </row>
    <row r="172" spans="1:15" x14ac:dyDescent="0.25">
      <c r="A172" s="2" t="s">
        <v>439</v>
      </c>
      <c r="B172" s="1" t="s">
        <v>312</v>
      </c>
      <c r="C172" s="1" t="s">
        <v>440</v>
      </c>
      <c r="D172" s="1" t="s">
        <v>1704</v>
      </c>
      <c r="E172" s="1" t="str">
        <f>VLOOKUP(Table1[[#This Row],[Navn DK]],product_nodes_new_id!A:B,2,FALSE)</f>
        <v>c00e5b54-f603-5dc9-aee2-936640be7bb0</v>
      </c>
      <c r="F172" s="1">
        <v>3.87499779812787E-3</v>
      </c>
      <c r="G172" s="1">
        <v>0</v>
      </c>
      <c r="H172" s="1">
        <v>0</v>
      </c>
      <c r="I172" s="1">
        <v>0</v>
      </c>
      <c r="J172" s="1">
        <v>1</v>
      </c>
      <c r="K172" s="1" t="s">
        <v>16</v>
      </c>
      <c r="L172" s="1">
        <v>1100</v>
      </c>
      <c r="M172" s="1" t="s">
        <v>65</v>
      </c>
      <c r="N172" s="3" t="s">
        <v>441</v>
      </c>
      <c r="O172" s="1"/>
    </row>
    <row r="173" spans="1:15" x14ac:dyDescent="0.25">
      <c r="A173" s="2" t="s">
        <v>409</v>
      </c>
      <c r="B173" s="1" t="s">
        <v>312</v>
      </c>
      <c r="C173" s="1" t="s">
        <v>410</v>
      </c>
      <c r="D173" s="1" t="s">
        <v>1708</v>
      </c>
      <c r="E173" s="1" t="str">
        <f>VLOOKUP(Table1[[#This Row],[Navn DK]],product_nodes_new_id!A:B,2,FALSE)</f>
        <v>646237ae-a61f-58ce-ac32-3e935fa5a3ad</v>
      </c>
      <c r="F173" s="1">
        <v>0.347658712778315</v>
      </c>
      <c r="G173" s="1">
        <v>3.38399008267945E-3</v>
      </c>
      <c r="H173" s="1">
        <v>0</v>
      </c>
      <c r="I173" s="1">
        <v>-1.15342884671582E-3</v>
      </c>
      <c r="J173" s="1">
        <v>1</v>
      </c>
      <c r="K173" s="1" t="s">
        <v>16</v>
      </c>
      <c r="L173" s="1">
        <v>1</v>
      </c>
      <c r="M173" s="1" t="s">
        <v>17</v>
      </c>
      <c r="N173" s="3" t="s">
        <v>1142</v>
      </c>
      <c r="O173" s="1"/>
    </row>
    <row r="174" spans="1:15" x14ac:dyDescent="0.25">
      <c r="A174" s="2" t="s">
        <v>813</v>
      </c>
      <c r="B174" s="1" t="s">
        <v>312</v>
      </c>
      <c r="C174" s="1" t="s">
        <v>814</v>
      </c>
      <c r="D174" s="1" t="s">
        <v>1710</v>
      </c>
      <c r="E174" s="1" t="str">
        <f>VLOOKUP(Table1[[#This Row],[Navn DK]],product_nodes_new_id!A:B,2,FALSE)</f>
        <v>b2d4d634-f46b-5d76-8ce2-85503230b90c</v>
      </c>
      <c r="F174" s="1">
        <v>9.6236756979976104</v>
      </c>
      <c r="G174" s="1">
        <v>6.7679801653588996</v>
      </c>
      <c r="H174" s="1">
        <v>0</v>
      </c>
      <c r="I174" s="1">
        <v>-2.3068576934316498</v>
      </c>
      <c r="J174" s="1">
        <v>1</v>
      </c>
      <c r="K174" s="1" t="s">
        <v>1274</v>
      </c>
      <c r="L174" s="1">
        <v>2000</v>
      </c>
      <c r="M174" s="1" t="s">
        <v>65</v>
      </c>
      <c r="N174" s="3" t="s">
        <v>1229</v>
      </c>
      <c r="O174" s="1"/>
    </row>
    <row r="175" spans="1:15" x14ac:dyDescent="0.25">
      <c r="A175" s="2" t="s">
        <v>686</v>
      </c>
      <c r="B175" s="1" t="s">
        <v>312</v>
      </c>
      <c r="C175" s="1" t="s">
        <v>687</v>
      </c>
      <c r="D175" s="1" t="s">
        <v>1712</v>
      </c>
      <c r="E175" s="1" t="str">
        <f>VLOOKUP(Table1[[#This Row],[Navn DK]],product_nodes_new_id!A:B,2,FALSE)</f>
        <v>1b5f8a87-2c4d-5606-8d1d-28f2ab8ee24e</v>
      </c>
      <c r="F175" s="1">
        <v>0.46744746300071899</v>
      </c>
      <c r="G175" s="1">
        <v>1.8237319909737399</v>
      </c>
      <c r="H175" s="1">
        <v>0</v>
      </c>
      <c r="I175" s="1">
        <v>-1.74988068356179E-2</v>
      </c>
      <c r="J175" s="1">
        <v>1</v>
      </c>
      <c r="K175" s="1" t="s">
        <v>1272</v>
      </c>
      <c r="L175" s="1">
        <v>14</v>
      </c>
      <c r="M175" s="1" t="s">
        <v>23</v>
      </c>
      <c r="N175" s="3" t="s">
        <v>688</v>
      </c>
      <c r="O175" s="1"/>
    </row>
    <row r="176" spans="1:15" x14ac:dyDescent="0.25">
      <c r="A176" s="2" t="s">
        <v>873</v>
      </c>
      <c r="B176" s="1" t="s">
        <v>312</v>
      </c>
      <c r="C176" s="1" t="s">
        <v>874</v>
      </c>
      <c r="D176" s="1" t="s">
        <v>1714</v>
      </c>
      <c r="E176" s="1" t="str">
        <f>VLOOKUP(Table1[[#This Row],[Navn DK]],product_nodes_new_id!A:B,2,FALSE)</f>
        <v>9865dc97-288f-5a10-8a01-d770448e1826</v>
      </c>
      <c r="F176" s="1">
        <v>98.197357873702501</v>
      </c>
      <c r="G176" s="1">
        <v>2.8958422768833199</v>
      </c>
      <c r="H176" s="1">
        <v>0</v>
      </c>
      <c r="I176" s="1">
        <v>-1.1249232965754301</v>
      </c>
      <c r="J176" s="1">
        <v>1</v>
      </c>
      <c r="K176" s="1" t="s">
        <v>1274</v>
      </c>
      <c r="L176" s="1">
        <v>900</v>
      </c>
      <c r="M176" s="1" t="s">
        <v>65</v>
      </c>
      <c r="N176" s="3" t="s">
        <v>1244</v>
      </c>
      <c r="O176" s="1"/>
    </row>
    <row r="177" spans="1:15" x14ac:dyDescent="0.25">
      <c r="A177" s="2" t="s">
        <v>588</v>
      </c>
      <c r="B177" s="1" t="s">
        <v>312</v>
      </c>
      <c r="C177" s="1" t="s">
        <v>589</v>
      </c>
      <c r="D177" s="1" t="s">
        <v>1716</v>
      </c>
      <c r="E177" s="1" t="str">
        <f>VLOOKUP(Table1[[#This Row],[Navn DK]],product_nodes_new_id!A:B,2,FALSE)</f>
        <v>7a7f66af-2990-5648-8179-9439453ffa7b</v>
      </c>
      <c r="F177" s="1">
        <v>25.349972943727</v>
      </c>
      <c r="G177" s="1">
        <v>0.40891824398623799</v>
      </c>
      <c r="H177" s="1">
        <v>0</v>
      </c>
      <c r="I177" s="1">
        <v>-6.7934847171945506E-2</v>
      </c>
      <c r="J177" s="1">
        <v>1</v>
      </c>
      <c r="K177" s="1" t="s">
        <v>151</v>
      </c>
      <c r="L177" s="1">
        <v>51</v>
      </c>
      <c r="M177" s="1" t="s">
        <v>152</v>
      </c>
      <c r="N177" s="3" t="s">
        <v>1194</v>
      </c>
      <c r="O177" s="1"/>
    </row>
    <row r="178" spans="1:15" x14ac:dyDescent="0.25">
      <c r="A178" s="2" t="s">
        <v>570</v>
      </c>
      <c r="B178" s="1" t="s">
        <v>312</v>
      </c>
      <c r="C178" s="1" t="s">
        <v>571</v>
      </c>
      <c r="D178" s="1" t="s">
        <v>2198</v>
      </c>
      <c r="E178" s="1" t="e">
        <f>VLOOKUP(Table1[[#This Row],[Navn DK]],product_nodes_new_id!A:B,2,FALSE)</f>
        <v>#N/A</v>
      </c>
      <c r="F178" s="1">
        <v>49.868389372211098</v>
      </c>
      <c r="G178" s="1">
        <v>1.1385566793342301</v>
      </c>
      <c r="H178" s="1">
        <v>0</v>
      </c>
      <c r="I178" s="1">
        <v>-0.18915192741992701</v>
      </c>
      <c r="J178" s="1">
        <v>1</v>
      </c>
      <c r="K178" s="1" t="s">
        <v>151</v>
      </c>
      <c r="L178" s="1">
        <v>142</v>
      </c>
      <c r="M178" s="1" t="s">
        <v>152</v>
      </c>
      <c r="N178" s="3" t="s">
        <v>1191</v>
      </c>
      <c r="O178" s="1"/>
    </row>
    <row r="179" spans="1:15" x14ac:dyDescent="0.25">
      <c r="A179" s="2" t="s">
        <v>787</v>
      </c>
      <c r="B179" s="1" t="s">
        <v>312</v>
      </c>
      <c r="C179" s="1" t="s">
        <v>788</v>
      </c>
      <c r="D179" s="1" t="s">
        <v>1718</v>
      </c>
      <c r="E179" s="1" t="str">
        <f>VLOOKUP(Table1[[#This Row],[Navn DK]],product_nodes_new_id!A:B,2,FALSE)</f>
        <v>bcc7cf9a-8a1e-568a-a5de-d07bd3d5fdf5</v>
      </c>
      <c r="F179" s="1">
        <v>91.759423925920998</v>
      </c>
      <c r="G179" s="1">
        <v>4.0607880992153396</v>
      </c>
      <c r="H179" s="1">
        <v>0</v>
      </c>
      <c r="I179" s="1">
        <v>-1.3841146160589901</v>
      </c>
      <c r="J179" s="1">
        <v>1</v>
      </c>
      <c r="K179" s="1" t="s">
        <v>1274</v>
      </c>
      <c r="L179" s="1">
        <v>1200</v>
      </c>
      <c r="M179" s="1" t="s">
        <v>65</v>
      </c>
      <c r="N179" s="3" t="s">
        <v>1222</v>
      </c>
      <c r="O179" s="1"/>
    </row>
    <row r="180" spans="1:15" x14ac:dyDescent="0.25">
      <c r="A180" s="2" t="s">
        <v>31</v>
      </c>
      <c r="B180" s="1" t="s">
        <v>14</v>
      </c>
      <c r="C180" s="1" t="s">
        <v>21</v>
      </c>
      <c r="D180" s="1" t="s">
        <v>32</v>
      </c>
      <c r="E180" s="1" t="e">
        <f>VLOOKUP(Table1[[#This Row],[Navn DK]],product_nodes_new_id!A:B,2,FALSE)</f>
        <v>#N/A</v>
      </c>
      <c r="F180" s="1">
        <v>26.8</v>
      </c>
      <c r="G180" s="1">
        <v>0.48599999999999999</v>
      </c>
      <c r="H180" s="1">
        <v>0.35599999999999998</v>
      </c>
      <c r="I180" s="1">
        <v>-0.36299999999999999</v>
      </c>
      <c r="J180" s="1">
        <v>1</v>
      </c>
      <c r="K180" s="1" t="s">
        <v>1272</v>
      </c>
      <c r="L180" s="1">
        <v>161.5</v>
      </c>
      <c r="M180" s="1" t="s">
        <v>23</v>
      </c>
      <c r="N180" s="3" t="s">
        <v>33</v>
      </c>
      <c r="O180" s="1"/>
    </row>
    <row r="181" spans="1:15" x14ac:dyDescent="0.25">
      <c r="A181" s="2" t="s">
        <v>34</v>
      </c>
      <c r="B181" s="1" t="s">
        <v>14</v>
      </c>
      <c r="C181" s="1" t="s">
        <v>21</v>
      </c>
      <c r="D181" s="1" t="s">
        <v>35</v>
      </c>
      <c r="E181" s="1" t="e">
        <f>VLOOKUP(Table1[[#This Row],[Navn DK]],product_nodes_new_id!A:B,2,FALSE)</f>
        <v>#N/A</v>
      </c>
      <c r="F181" s="1">
        <v>38.6</v>
      </c>
      <c r="G181" s="1">
        <v>0.74399999999999999</v>
      </c>
      <c r="H181" s="1">
        <v>0.53800000000000003</v>
      </c>
      <c r="I181" s="1">
        <v>-0.621</v>
      </c>
      <c r="J181" s="1">
        <v>1</v>
      </c>
      <c r="K181" s="1" t="s">
        <v>1272</v>
      </c>
      <c r="L181" s="1">
        <v>242.4</v>
      </c>
      <c r="M181" s="1" t="s">
        <v>23</v>
      </c>
      <c r="N181" s="3" t="s">
        <v>33</v>
      </c>
      <c r="O181" s="1"/>
    </row>
    <row r="182" spans="1:15" x14ac:dyDescent="0.25">
      <c r="A182" s="2" t="s">
        <v>48</v>
      </c>
      <c r="B182" s="1" t="s">
        <v>14</v>
      </c>
      <c r="C182" s="1" t="s">
        <v>21</v>
      </c>
      <c r="D182" s="1" t="s">
        <v>49</v>
      </c>
      <c r="E182" s="1" t="e">
        <f>VLOOKUP(Table1[[#This Row],[Navn DK]],product_nodes_new_id!A:B,2,FALSE)</f>
        <v>#N/A</v>
      </c>
      <c r="F182" s="1">
        <v>63</v>
      </c>
      <c r="G182" s="1">
        <v>1.1499999999999999</v>
      </c>
      <c r="H182" s="1">
        <v>0.83599999999999997</v>
      </c>
      <c r="I182" s="1">
        <v>-0.93100000000000005</v>
      </c>
      <c r="J182" s="1">
        <v>1</v>
      </c>
      <c r="K182" s="1" t="s">
        <v>1272</v>
      </c>
      <c r="L182" s="1">
        <v>394.8</v>
      </c>
      <c r="M182" s="1" t="s">
        <v>23</v>
      </c>
      <c r="N182" s="3" t="s">
        <v>33</v>
      </c>
      <c r="O182" s="1"/>
    </row>
    <row r="183" spans="1:15" x14ac:dyDescent="0.25">
      <c r="A183" s="2" t="s">
        <v>265</v>
      </c>
      <c r="B183" s="1" t="s">
        <v>126</v>
      </c>
      <c r="C183" s="1" t="s">
        <v>21</v>
      </c>
      <c r="D183" s="1" t="s">
        <v>266</v>
      </c>
      <c r="E183" s="1" t="e">
        <f>VLOOKUP(Table1[[#This Row],[Navn DK]],product_nodes_new_id!A:B,2,FALSE)</f>
        <v>#N/A</v>
      </c>
      <c r="F183" s="1">
        <v>102.74000000000001</v>
      </c>
      <c r="G183" s="1">
        <v>0</v>
      </c>
      <c r="H183" s="1">
        <v>0.55220000000000002</v>
      </c>
      <c r="I183" s="1">
        <v>-41.4</v>
      </c>
      <c r="J183" s="1">
        <v>1</v>
      </c>
      <c r="K183" s="1" t="s">
        <v>1274</v>
      </c>
      <c r="L183" s="1">
        <v>0.245</v>
      </c>
      <c r="M183" s="1" t="s">
        <v>267</v>
      </c>
      <c r="N183" s="3" t="s">
        <v>128</v>
      </c>
      <c r="O183" s="1"/>
    </row>
    <row r="184" spans="1:15" x14ac:dyDescent="0.25">
      <c r="A184" s="2" t="s">
        <v>268</v>
      </c>
      <c r="B184" s="1" t="s">
        <v>126</v>
      </c>
      <c r="C184" s="1" t="s">
        <v>21</v>
      </c>
      <c r="D184" s="1" t="s">
        <v>269</v>
      </c>
      <c r="E184" s="1" t="e">
        <f>VLOOKUP(Table1[[#This Row],[Navn DK]],product_nodes_new_id!A:B,2,FALSE)</f>
        <v>#N/A</v>
      </c>
      <c r="F184" s="1">
        <v>119.31700000000001</v>
      </c>
      <c r="G184" s="1">
        <v>0</v>
      </c>
      <c r="H184" s="1">
        <v>0.64349999999999996</v>
      </c>
      <c r="I184" s="1">
        <v>-48.330000000000005</v>
      </c>
      <c r="J184" s="1">
        <v>1</v>
      </c>
      <c r="K184" s="1" t="s">
        <v>1274</v>
      </c>
      <c r="L184" s="1">
        <v>0.28499999999999998</v>
      </c>
      <c r="M184" s="1" t="s">
        <v>267</v>
      </c>
      <c r="N184" s="3" t="s">
        <v>128</v>
      </c>
      <c r="O184" s="1"/>
    </row>
    <row r="185" spans="1:15" x14ac:dyDescent="0.25">
      <c r="A185" s="2" t="s">
        <v>63</v>
      </c>
      <c r="B185" s="1" t="s">
        <v>14</v>
      </c>
      <c r="C185" s="1" t="s">
        <v>21</v>
      </c>
      <c r="D185" s="1" t="s">
        <v>64</v>
      </c>
      <c r="E185" s="1" t="e">
        <f>VLOOKUP(Table1[[#This Row],[Navn DK]],product_nodes_new_id!A:B,2,FALSE)</f>
        <v>#N/A</v>
      </c>
      <c r="F185" s="1">
        <v>121</v>
      </c>
      <c r="G185" s="1">
        <v>0.83599999999999997</v>
      </c>
      <c r="H185" s="1">
        <v>0.61799999999999999</v>
      </c>
      <c r="I185" s="1">
        <v>-0.57199999999999995</v>
      </c>
      <c r="J185" s="1">
        <v>1</v>
      </c>
      <c r="K185" s="1" t="s">
        <v>1274</v>
      </c>
      <c r="L185" s="1">
        <v>327</v>
      </c>
      <c r="M185" s="1" t="s">
        <v>65</v>
      </c>
      <c r="N185" s="3" t="s">
        <v>66</v>
      </c>
      <c r="O185" s="1"/>
    </row>
    <row r="186" spans="1:15" x14ac:dyDescent="0.25">
      <c r="A186" s="2" t="s">
        <v>67</v>
      </c>
      <c r="B186" s="1" t="s">
        <v>14</v>
      </c>
      <c r="C186" s="1" t="s">
        <v>21</v>
      </c>
      <c r="D186" s="1" t="s">
        <v>68</v>
      </c>
      <c r="E186" s="1" t="e">
        <f>VLOOKUP(Table1[[#This Row],[Navn DK]],product_nodes_new_id!A:B,2,FALSE)</f>
        <v>#N/A</v>
      </c>
      <c r="F186" s="1">
        <v>130</v>
      </c>
      <c r="G186" s="1">
        <v>0.96099999999999997</v>
      </c>
      <c r="H186" s="1">
        <v>6.19</v>
      </c>
      <c r="I186" s="1">
        <v>-4.3899999999999997</v>
      </c>
      <c r="J186" s="1">
        <v>1</v>
      </c>
      <c r="K186" s="1" t="s">
        <v>1274</v>
      </c>
      <c r="L186" s="1">
        <v>375</v>
      </c>
      <c r="M186" s="1" t="s">
        <v>65</v>
      </c>
      <c r="N186" s="3" t="s">
        <v>66</v>
      </c>
      <c r="O186" s="1"/>
    </row>
    <row r="187" spans="1:15" x14ac:dyDescent="0.25">
      <c r="A187" s="2" t="s">
        <v>87</v>
      </c>
      <c r="B187" s="1" t="s">
        <v>14</v>
      </c>
      <c r="C187" s="1" t="s">
        <v>21</v>
      </c>
      <c r="D187" s="1" t="s">
        <v>88</v>
      </c>
      <c r="E187" s="1" t="e">
        <f>VLOOKUP(Table1[[#This Row],[Navn DK]],product_nodes_new_id!A:B,2,FALSE)</f>
        <v>#N/A</v>
      </c>
      <c r="F187" s="1">
        <v>194</v>
      </c>
      <c r="G187" s="1">
        <v>1.6</v>
      </c>
      <c r="H187" s="1">
        <v>1.19</v>
      </c>
      <c r="I187" s="1">
        <v>-1.1000000000000001</v>
      </c>
      <c r="J187" s="1">
        <v>1</v>
      </c>
      <c r="K187" s="1" t="s">
        <v>1274</v>
      </c>
      <c r="L187" s="1">
        <v>600</v>
      </c>
      <c r="M187" s="1" t="s">
        <v>65</v>
      </c>
      <c r="N187" s="3" t="s">
        <v>66</v>
      </c>
      <c r="O187" s="1"/>
    </row>
    <row r="188" spans="1:15" x14ac:dyDescent="0.25">
      <c r="A188" s="2" t="s">
        <v>307</v>
      </c>
      <c r="B188" s="1" t="s">
        <v>126</v>
      </c>
      <c r="C188" s="1" t="s">
        <v>21</v>
      </c>
      <c r="D188" s="1" t="s">
        <v>308</v>
      </c>
      <c r="E188" s="1" t="e">
        <f>VLOOKUP(Table1[[#This Row],[Navn DK]],product_nodes_new_id!A:B,2,FALSE)</f>
        <v>#N/A</v>
      </c>
      <c r="F188" s="1">
        <v>4125</v>
      </c>
      <c r="G188" s="1">
        <v>24.200000000000003</v>
      </c>
      <c r="H188" s="1">
        <v>0.94490000000000007</v>
      </c>
      <c r="I188" s="1">
        <v>-1503</v>
      </c>
      <c r="J188" s="1">
        <v>1</v>
      </c>
      <c r="K188" s="1" t="s">
        <v>283</v>
      </c>
      <c r="L188" s="1">
        <v>7850</v>
      </c>
      <c r="M188" s="1" t="s">
        <v>65</v>
      </c>
      <c r="N188" s="3" t="s">
        <v>128</v>
      </c>
      <c r="O188" s="1"/>
    </row>
    <row r="189" spans="1:15" x14ac:dyDescent="0.25">
      <c r="A189" s="2" t="s">
        <v>406</v>
      </c>
      <c r="B189" s="1" t="s">
        <v>312</v>
      </c>
      <c r="C189" s="1" t="s">
        <v>407</v>
      </c>
      <c r="D189" s="1" t="s">
        <v>1728</v>
      </c>
      <c r="E189" s="1" t="str">
        <f>VLOOKUP(Table1[[#This Row],[Navn DK]],product_nodes_new_id!A:B,2,FALSE)</f>
        <v>fea86718-7dfa-542b-91ab-f371c5d7b4e0</v>
      </c>
      <c r="F189" s="1">
        <v>0.100682742334716</v>
      </c>
      <c r="G189" s="1">
        <v>0</v>
      </c>
      <c r="H189" s="1">
        <v>1.6092731618195199E-2</v>
      </c>
      <c r="I189" s="1">
        <v>0</v>
      </c>
      <c r="J189" s="1">
        <v>1</v>
      </c>
      <c r="K189" s="1" t="s">
        <v>16</v>
      </c>
      <c r="L189" s="1">
        <v>1000</v>
      </c>
      <c r="M189" s="1" t="s">
        <v>65</v>
      </c>
      <c r="N189" s="3" t="s">
        <v>408</v>
      </c>
      <c r="O189" s="1"/>
    </row>
    <row r="190" spans="1:15" x14ac:dyDescent="0.25">
      <c r="A190" s="2" t="s">
        <v>81</v>
      </c>
      <c r="B190" s="1" t="s">
        <v>14</v>
      </c>
      <c r="C190" s="1" t="s">
        <v>21</v>
      </c>
      <c r="D190" s="1" t="s">
        <v>82</v>
      </c>
      <c r="E190" s="1" t="e">
        <f>VLOOKUP(Table1[[#This Row],[Navn DK]],product_nodes_new_id!A:B,2,FALSE)</f>
        <v>#N/A</v>
      </c>
      <c r="F190" s="1">
        <v>-610</v>
      </c>
      <c r="G190" s="1">
        <v>743</v>
      </c>
      <c r="H190" s="1">
        <v>0</v>
      </c>
      <c r="I190" s="1">
        <v>-395</v>
      </c>
      <c r="J190" s="1">
        <v>1</v>
      </c>
      <c r="K190" s="1" t="s">
        <v>1274</v>
      </c>
      <c r="L190" s="1">
        <v>500</v>
      </c>
      <c r="M190" s="1" t="s">
        <v>65</v>
      </c>
      <c r="N190" s="3" t="s">
        <v>83</v>
      </c>
      <c r="O190" s="1"/>
    </row>
    <row r="191" spans="1:15" x14ac:dyDescent="0.25">
      <c r="A191" s="2" t="s">
        <v>722</v>
      </c>
      <c r="B191" s="1" t="s">
        <v>312</v>
      </c>
      <c r="C191" s="1" t="s">
        <v>723</v>
      </c>
      <c r="D191" s="1" t="s">
        <v>1734</v>
      </c>
      <c r="E191" s="1" t="str">
        <f>VLOOKUP(Table1[[#This Row],[Navn DK]],product_nodes_new_id!A:B,2,FALSE)</f>
        <v>08add22b-8f81-5a8c-8855-42abfd575195</v>
      </c>
      <c r="F191" s="1">
        <v>4.0785580428841701</v>
      </c>
      <c r="G191" s="1">
        <v>4.4425090997793797</v>
      </c>
      <c r="H191" s="1">
        <v>0</v>
      </c>
      <c r="I191" s="1">
        <v>-1.36016976730438</v>
      </c>
      <c r="J191" s="1">
        <v>1</v>
      </c>
      <c r="K191" s="1" t="s">
        <v>1272</v>
      </c>
      <c r="L191" s="1">
        <v>3</v>
      </c>
      <c r="M191" s="1" t="s">
        <v>23</v>
      </c>
      <c r="N191" s="3" t="s">
        <v>724</v>
      </c>
      <c r="O191" s="1"/>
    </row>
    <row r="192" spans="1:15" x14ac:dyDescent="0.25">
      <c r="A192" s="2" t="s">
        <v>973</v>
      </c>
      <c r="B192" s="1" t="s">
        <v>312</v>
      </c>
      <c r="C192" s="1" t="s">
        <v>974</v>
      </c>
      <c r="D192" s="1" t="s">
        <v>1736</v>
      </c>
      <c r="E192" s="1" t="str">
        <f>VLOOKUP(Table1[[#This Row],[Navn DK]],product_nodes_new_id!A:B,2,FALSE)</f>
        <v>6bd374c9-2d6b-50f3-a6ac-aabe0d480c3b</v>
      </c>
      <c r="F192" s="1">
        <v>272.546798420453</v>
      </c>
      <c r="G192" s="1">
        <v>0</v>
      </c>
      <c r="H192" s="1">
        <v>22.450024933503101</v>
      </c>
      <c r="I192" s="1">
        <v>-32.624367314193996</v>
      </c>
      <c r="J192" s="1">
        <v>1</v>
      </c>
      <c r="K192" s="1" t="s">
        <v>119</v>
      </c>
      <c r="L192" s="1">
        <v>23.3</v>
      </c>
      <c r="M192" s="1" t="s">
        <v>120</v>
      </c>
      <c r="N192" s="3" t="s">
        <v>975</v>
      </c>
      <c r="O192" s="1"/>
    </row>
    <row r="193" spans="1:15" x14ac:dyDescent="0.25">
      <c r="A193" s="2" t="s">
        <v>517</v>
      </c>
      <c r="B193" s="1" t="s">
        <v>312</v>
      </c>
      <c r="C193" s="1" t="s">
        <v>518</v>
      </c>
      <c r="D193" s="1" t="s">
        <v>518</v>
      </c>
      <c r="E193" s="1" t="str">
        <f>VLOOKUP(Table1[[#This Row],[Navn DK]],product_nodes_new_id!A:B,2,FALSE)</f>
        <v>3ad80773-78c8-50e2-9d2c-b97ce3be91b0</v>
      </c>
      <c r="F193" s="1">
        <v>10.9935647817952</v>
      </c>
      <c r="G193" s="1">
        <v>0</v>
      </c>
      <c r="H193" s="1">
        <v>12.1478024003036</v>
      </c>
      <c r="I193" s="1">
        <v>0</v>
      </c>
      <c r="J193" s="1">
        <v>1</v>
      </c>
      <c r="K193" s="1" t="s">
        <v>16</v>
      </c>
      <c r="L193" s="1">
        <v>1</v>
      </c>
      <c r="M193" s="1" t="s">
        <v>17</v>
      </c>
      <c r="N193" s="3" t="s">
        <v>1179</v>
      </c>
      <c r="O193" s="1"/>
    </row>
    <row r="194" spans="1:15" x14ac:dyDescent="0.25">
      <c r="A194" s="2" t="s">
        <v>1077</v>
      </c>
      <c r="B194" s="1" t="s">
        <v>312</v>
      </c>
      <c r="C194" s="1" t="s">
        <v>1078</v>
      </c>
      <c r="D194" s="1" t="s">
        <v>2199</v>
      </c>
      <c r="E194" s="1" t="e">
        <f>VLOOKUP(Table1[[#This Row],[Navn DK]],product_nodes_new_id!A:B,2,FALSE)</f>
        <v>#N/A</v>
      </c>
      <c r="F194" s="1">
        <v>3.5379834786434601</v>
      </c>
      <c r="G194" s="1">
        <v>0</v>
      </c>
      <c r="H194" s="1">
        <v>8.8522555883668502E-2</v>
      </c>
      <c r="I194" s="1">
        <v>0</v>
      </c>
      <c r="J194" s="1">
        <v>1</v>
      </c>
      <c r="K194" s="1" t="s">
        <v>1272</v>
      </c>
      <c r="L194" s="1">
        <v>2.4</v>
      </c>
      <c r="M194" s="1" t="s">
        <v>23</v>
      </c>
      <c r="N194" s="3" t="s">
        <v>1079</v>
      </c>
      <c r="O194" s="1"/>
    </row>
    <row r="195" spans="1:15" x14ac:dyDescent="0.25">
      <c r="A195" s="2" t="s">
        <v>1029</v>
      </c>
      <c r="B195" s="1" t="s">
        <v>312</v>
      </c>
      <c r="C195" s="1" t="s">
        <v>1030</v>
      </c>
      <c r="D195" s="1" t="s">
        <v>1688</v>
      </c>
      <c r="E195" s="1" t="str">
        <f>VLOOKUP(Table1[[#This Row],[Navn DK]],product_nodes_new_id!A:B,2,FALSE)</f>
        <v>e909d617-9652-5655-971e-b9194a5522a0</v>
      </c>
      <c r="F195" s="1">
        <v>2149.1156311895102</v>
      </c>
      <c r="G195" s="1">
        <v>53.679970139498302</v>
      </c>
      <c r="H195" s="1">
        <v>0.68080804526656702</v>
      </c>
      <c r="I195" s="1">
        <v>-996.09567149749103</v>
      </c>
      <c r="J195" s="1">
        <v>1</v>
      </c>
      <c r="K195" s="1" t="s">
        <v>119</v>
      </c>
      <c r="L195" s="1">
        <v>773</v>
      </c>
      <c r="M195" s="1" t="s">
        <v>120</v>
      </c>
      <c r="N195" s="3" t="s">
        <v>1031</v>
      </c>
      <c r="O195" s="1"/>
    </row>
    <row r="196" spans="1:15" x14ac:dyDescent="0.25">
      <c r="A196" s="2" t="s">
        <v>1026</v>
      </c>
      <c r="B196" s="1" t="s">
        <v>312</v>
      </c>
      <c r="C196" s="1" t="s">
        <v>1027</v>
      </c>
      <c r="D196" s="1" t="s">
        <v>1690</v>
      </c>
      <c r="E196" s="1" t="str">
        <f>VLOOKUP(Table1[[#This Row],[Navn DK]],product_nodes_new_id!A:B,2,FALSE)</f>
        <v>7ba2a15e-60dc-561a-9b0f-e0397ec1f9fd</v>
      </c>
      <c r="F196" s="1">
        <v>1737.16997792916</v>
      </c>
      <c r="G196" s="1">
        <v>0</v>
      </c>
      <c r="H196" s="1">
        <v>0.46616341982639697</v>
      </c>
      <c r="I196" s="1">
        <v>-687.86507914763297</v>
      </c>
      <c r="J196" s="1">
        <v>1</v>
      </c>
      <c r="K196" s="1" t="s">
        <v>119</v>
      </c>
      <c r="L196" s="1">
        <v>648</v>
      </c>
      <c r="M196" s="1" t="s">
        <v>120</v>
      </c>
      <c r="N196" s="3" t="s">
        <v>1028</v>
      </c>
      <c r="O196" s="1"/>
    </row>
    <row r="197" spans="1:15" x14ac:dyDescent="0.25">
      <c r="A197" s="2" t="s">
        <v>915</v>
      </c>
      <c r="B197" s="1" t="s">
        <v>312</v>
      </c>
      <c r="C197" s="1" t="s">
        <v>916</v>
      </c>
      <c r="D197" s="1" t="s">
        <v>1692</v>
      </c>
      <c r="E197" s="1" t="str">
        <f>VLOOKUP(Table1[[#This Row],[Navn DK]],product_nodes_new_id!A:B,2,FALSE)</f>
        <v>7ca91977-e134-5290-8fbd-9d48aac34815</v>
      </c>
      <c r="F197" s="1">
        <v>3103.2715036018099</v>
      </c>
      <c r="G197" s="1">
        <v>77.345333319277202</v>
      </c>
      <c r="H197" s="1">
        <v>0.98284181095359602</v>
      </c>
      <c r="I197" s="1">
        <v>-1438.02729805646</v>
      </c>
      <c r="J197" s="1">
        <v>1</v>
      </c>
      <c r="K197" s="1" t="s">
        <v>119</v>
      </c>
      <c r="L197" s="1">
        <v>1117</v>
      </c>
      <c r="M197" s="1" t="s">
        <v>120</v>
      </c>
      <c r="N197" s="3" t="s">
        <v>917</v>
      </c>
      <c r="O197" s="1"/>
    </row>
    <row r="198" spans="1:15" x14ac:dyDescent="0.25">
      <c r="A198" s="2" t="s">
        <v>912</v>
      </c>
      <c r="B198" s="1" t="s">
        <v>312</v>
      </c>
      <c r="C198" s="1" t="s">
        <v>913</v>
      </c>
      <c r="D198" s="1" t="s">
        <v>1694</v>
      </c>
      <c r="E198" s="1" t="str">
        <f>VLOOKUP(Table1[[#This Row],[Navn DK]],product_nodes_new_id!A:B,2,FALSE)</f>
        <v>45d35075-9cdf-54cd-bb65-8730af02165c</v>
      </c>
      <c r="F198" s="1">
        <v>2790.2035166738701</v>
      </c>
      <c r="G198" s="1">
        <v>0</v>
      </c>
      <c r="H198" s="1">
        <v>0.91525383541523997</v>
      </c>
      <c r="I198" s="1">
        <v>-1350.5374406523299</v>
      </c>
      <c r="J198" s="1">
        <v>1</v>
      </c>
      <c r="K198" s="1" t="s">
        <v>119</v>
      </c>
      <c r="L198" s="1">
        <v>1040</v>
      </c>
      <c r="M198" s="1" t="s">
        <v>120</v>
      </c>
      <c r="N198" s="3" t="s">
        <v>914</v>
      </c>
      <c r="O198" s="1"/>
    </row>
    <row r="199" spans="1:15" x14ac:dyDescent="0.25">
      <c r="A199" s="2" t="s">
        <v>936</v>
      </c>
      <c r="B199" s="1" t="s">
        <v>312</v>
      </c>
      <c r="C199" s="1" t="s">
        <v>937</v>
      </c>
      <c r="D199" s="1" t="s">
        <v>1696</v>
      </c>
      <c r="E199" s="1" t="str">
        <f>VLOOKUP(Table1[[#This Row],[Navn DK]],product_nodes_new_id!A:B,2,FALSE)</f>
        <v>37b4c55a-2f19-5320-bfc8-03bcdfd18f90</v>
      </c>
      <c r="F199" s="1">
        <v>3862.86672876187</v>
      </c>
      <c r="G199" s="1">
        <v>96.393064659099196</v>
      </c>
      <c r="H199" s="1">
        <v>1.2233071551736501</v>
      </c>
      <c r="I199" s="1">
        <v>-1789.8401837808799</v>
      </c>
      <c r="J199" s="1">
        <v>1</v>
      </c>
      <c r="K199" s="1" t="s">
        <v>119</v>
      </c>
      <c r="L199" s="1">
        <v>1390</v>
      </c>
      <c r="M199" s="1" t="s">
        <v>120</v>
      </c>
      <c r="N199" s="3" t="s">
        <v>938</v>
      </c>
      <c r="O199" s="1"/>
    </row>
    <row r="200" spans="1:15" x14ac:dyDescent="0.25">
      <c r="A200" s="2" t="s">
        <v>918</v>
      </c>
      <c r="B200" s="1" t="s">
        <v>312</v>
      </c>
      <c r="C200" s="1" t="s">
        <v>919</v>
      </c>
      <c r="D200" s="1" t="s">
        <v>1698</v>
      </c>
      <c r="E200" s="1" t="str">
        <f>VLOOKUP(Table1[[#This Row],[Navn DK]],product_nodes_new_id!A:B,2,FALSE)</f>
        <v>29557cec-1dd8-5f07-a0df-43f07486ded5</v>
      </c>
      <c r="F200" s="1">
        <v>3138.9789562581</v>
      </c>
      <c r="G200" s="1">
        <v>0</v>
      </c>
      <c r="H200" s="1">
        <v>1.02966056484215</v>
      </c>
      <c r="I200" s="1">
        <v>-1519.35462073387</v>
      </c>
      <c r="J200" s="1">
        <v>1</v>
      </c>
      <c r="K200" s="1" t="s">
        <v>119</v>
      </c>
      <c r="L200" s="1">
        <v>1170</v>
      </c>
      <c r="M200" s="1" t="s">
        <v>120</v>
      </c>
      <c r="N200" s="3" t="s">
        <v>920</v>
      </c>
      <c r="O200" s="1"/>
    </row>
    <row r="201" spans="1:15" x14ac:dyDescent="0.25">
      <c r="A201" s="2" t="s">
        <v>520</v>
      </c>
      <c r="B201" s="1" t="s">
        <v>312</v>
      </c>
      <c r="C201" s="1" t="s">
        <v>521</v>
      </c>
      <c r="D201" s="1" t="s">
        <v>1753</v>
      </c>
      <c r="E201" s="1" t="str">
        <f>VLOOKUP(Table1[[#This Row],[Navn DK]],product_nodes_new_id!A:B,2,FALSE)</f>
        <v>20b2cec2-4767-525c-93e1-54ce5944e08f</v>
      </c>
      <c r="F201" s="1">
        <v>1.1146303558366299</v>
      </c>
      <c r="G201" s="1">
        <v>0</v>
      </c>
      <c r="H201" s="1">
        <v>0</v>
      </c>
      <c r="I201" s="1">
        <v>0</v>
      </c>
      <c r="J201" s="1">
        <v>1</v>
      </c>
      <c r="K201" s="1" t="s">
        <v>16</v>
      </c>
      <c r="L201" s="1">
        <v>1</v>
      </c>
      <c r="M201" s="1" t="s">
        <v>17</v>
      </c>
      <c r="N201" s="3" t="s">
        <v>522</v>
      </c>
      <c r="O201" s="1"/>
    </row>
    <row r="202" spans="1:15" x14ac:dyDescent="0.25">
      <c r="A202" s="2" t="s">
        <v>754</v>
      </c>
      <c r="B202" s="1" t="s">
        <v>312</v>
      </c>
      <c r="C202" s="1" t="s">
        <v>755</v>
      </c>
      <c r="D202" s="1" t="s">
        <v>1755</v>
      </c>
      <c r="E202" s="1" t="str">
        <f>VLOOKUP(Table1[[#This Row],[Navn DK]],product_nodes_new_id!A:B,2,FALSE)</f>
        <v>ab5b16ef-f24c-5287-8208-f77b0c9b5326</v>
      </c>
      <c r="F202" s="1">
        <v>15.588357422154999</v>
      </c>
      <c r="G202" s="1">
        <v>0.38438216441923201</v>
      </c>
      <c r="H202" s="1">
        <v>0</v>
      </c>
      <c r="I202" s="1">
        <v>-7.5048006947920007E-2</v>
      </c>
      <c r="J202" s="1">
        <v>1</v>
      </c>
      <c r="K202" s="1" t="s">
        <v>1272</v>
      </c>
      <c r="L202" s="1">
        <v>52</v>
      </c>
      <c r="M202" s="1" t="s">
        <v>23</v>
      </c>
      <c r="N202" s="3" t="s">
        <v>756</v>
      </c>
      <c r="O202" s="1"/>
    </row>
    <row r="203" spans="1:15" x14ac:dyDescent="0.25">
      <c r="A203" s="2" t="s">
        <v>501</v>
      </c>
      <c r="B203" s="1" t="s">
        <v>312</v>
      </c>
      <c r="C203" s="1" t="s">
        <v>502</v>
      </c>
      <c r="D203" s="1" t="s">
        <v>1757</v>
      </c>
      <c r="E203" s="1" t="str">
        <f>VLOOKUP(Table1[[#This Row],[Navn DK]],product_nodes_new_id!A:B,2,FALSE)</f>
        <v>aeccc9fa-fbf4-59ff-af60-1557d08575a2</v>
      </c>
      <c r="F203" s="1">
        <v>6.4700635456915299</v>
      </c>
      <c r="G203" s="1">
        <v>2.1110983931768699</v>
      </c>
      <c r="H203" s="1">
        <v>0</v>
      </c>
      <c r="I203" s="1">
        <v>-0.616815797467414</v>
      </c>
      <c r="J203" s="1">
        <v>1</v>
      </c>
      <c r="K203" s="1" t="s">
        <v>16</v>
      </c>
      <c r="L203" s="1">
        <v>10</v>
      </c>
      <c r="M203" s="1" t="s">
        <v>65</v>
      </c>
      <c r="N203" s="3" t="s">
        <v>1171</v>
      </c>
      <c r="O203" s="1"/>
    </row>
    <row r="204" spans="1:15" x14ac:dyDescent="0.25">
      <c r="A204" s="2" t="s">
        <v>334</v>
      </c>
      <c r="B204" s="1" t="s">
        <v>312</v>
      </c>
      <c r="C204" s="1" t="s">
        <v>335</v>
      </c>
      <c r="D204" s="1" t="s">
        <v>1759</v>
      </c>
      <c r="E204" s="1" t="str">
        <f>VLOOKUP(Table1[[#This Row],[Navn DK]],product_nodes_new_id!A:B,2,FALSE)</f>
        <v>543e900e-c9ed-5d66-80b2-814b3d0c7c1f</v>
      </c>
      <c r="F204" s="1">
        <v>1.2957370579067</v>
      </c>
      <c r="G204" s="1">
        <v>0</v>
      </c>
      <c r="H204" s="1">
        <v>0</v>
      </c>
      <c r="I204" s="1">
        <v>1.3691980016388E-2</v>
      </c>
      <c r="J204" s="1">
        <v>1</v>
      </c>
      <c r="K204" s="1" t="s">
        <v>16</v>
      </c>
      <c r="L204" s="1">
        <v>8750</v>
      </c>
      <c r="M204" s="1" t="s">
        <v>65</v>
      </c>
      <c r="N204" s="3" t="s">
        <v>1118</v>
      </c>
      <c r="O204" s="1"/>
    </row>
    <row r="205" spans="1:15" x14ac:dyDescent="0.25">
      <c r="A205" s="2" t="s">
        <v>253</v>
      </c>
      <c r="B205" s="1" t="s">
        <v>126</v>
      </c>
      <c r="C205" s="1" t="s">
        <v>21</v>
      </c>
      <c r="D205" s="1" t="s">
        <v>254</v>
      </c>
      <c r="E205" s="1" t="e">
        <f>VLOOKUP(Table1[[#This Row],[Navn DK]],product_nodes_new_id!A:B,2,FALSE)</f>
        <v>#N/A</v>
      </c>
      <c r="F205" s="1">
        <v>4.4759000000000002</v>
      </c>
      <c r="G205" s="1">
        <v>0</v>
      </c>
      <c r="H205" s="1">
        <v>4.9234900000000005E-2</v>
      </c>
      <c r="I205" s="1">
        <v>-0.14535719999999999</v>
      </c>
      <c r="J205" s="1">
        <v>1</v>
      </c>
      <c r="K205" s="1" t="s">
        <v>1273</v>
      </c>
      <c r="L205" s="1">
        <v>85</v>
      </c>
      <c r="M205" s="1" t="s">
        <v>65</v>
      </c>
      <c r="N205" s="3" t="s">
        <v>128</v>
      </c>
      <c r="O205" s="1"/>
    </row>
    <row r="206" spans="1:15" x14ac:dyDescent="0.25">
      <c r="A206" s="2" t="s">
        <v>259</v>
      </c>
      <c r="B206" s="1" t="s">
        <v>126</v>
      </c>
      <c r="C206" s="1" t="s">
        <v>21</v>
      </c>
      <c r="D206" s="1" t="s">
        <v>260</v>
      </c>
      <c r="E206" s="1" t="e">
        <f>VLOOKUP(Table1[[#This Row],[Navn DK]],product_nodes_new_id!A:B,2,FALSE)</f>
        <v>#N/A</v>
      </c>
      <c r="F206" s="1">
        <v>2.9700000000000006</v>
      </c>
      <c r="G206" s="1">
        <v>0</v>
      </c>
      <c r="H206" s="1">
        <v>6.5340000000000009E-2</v>
      </c>
      <c r="I206" s="1">
        <v>0</v>
      </c>
      <c r="J206" s="1">
        <v>1</v>
      </c>
      <c r="K206" s="1" t="s">
        <v>1273</v>
      </c>
      <c r="L206" s="1">
        <v>115</v>
      </c>
      <c r="M206" s="1" t="s">
        <v>65</v>
      </c>
      <c r="N206" s="3" t="s">
        <v>128</v>
      </c>
      <c r="O206" s="1"/>
    </row>
    <row r="207" spans="1:15" x14ac:dyDescent="0.25">
      <c r="A207" s="2" t="s">
        <v>249</v>
      </c>
      <c r="B207" s="1" t="s">
        <v>126</v>
      </c>
      <c r="C207" s="1" t="s">
        <v>21</v>
      </c>
      <c r="D207" s="1" t="s">
        <v>250</v>
      </c>
      <c r="E207" s="1" t="e">
        <f>VLOOKUP(Table1[[#This Row],[Navn DK]],product_nodes_new_id!A:B,2,FALSE)</f>
        <v>#N/A</v>
      </c>
      <c r="F207" s="1">
        <v>2.343</v>
      </c>
      <c r="G207" s="1">
        <v>0</v>
      </c>
      <c r="H207" s="1">
        <v>7.4309352517985622E-2</v>
      </c>
      <c r="I207" s="1">
        <v>-7.1847457627118638E-2</v>
      </c>
      <c r="J207" s="1">
        <v>1</v>
      </c>
      <c r="K207" s="1" t="s">
        <v>1273</v>
      </c>
      <c r="L207" s="1">
        <v>78</v>
      </c>
      <c r="M207" s="1" t="s">
        <v>65</v>
      </c>
      <c r="N207" s="3" t="s">
        <v>128</v>
      </c>
      <c r="O207" s="1"/>
    </row>
    <row r="208" spans="1:15" x14ac:dyDescent="0.25">
      <c r="A208" s="2" t="s">
        <v>263</v>
      </c>
      <c r="B208" s="1" t="s">
        <v>126</v>
      </c>
      <c r="C208" s="1" t="s">
        <v>21</v>
      </c>
      <c r="D208" s="1" t="s">
        <v>264</v>
      </c>
      <c r="E208" s="1" t="e">
        <f>VLOOKUP(Table1[[#This Row],[Navn DK]],product_nodes_new_id!A:B,2,FALSE)</f>
        <v>#N/A</v>
      </c>
      <c r="F208" s="1">
        <v>5.4560000000000004</v>
      </c>
      <c r="G208" s="1">
        <v>0</v>
      </c>
      <c r="H208" s="1">
        <v>0.10802</v>
      </c>
      <c r="I208" s="1">
        <v>-0.1656</v>
      </c>
      <c r="J208" s="1">
        <v>1</v>
      </c>
      <c r="K208" s="1" t="s">
        <v>1273</v>
      </c>
      <c r="L208" s="1">
        <v>172.5</v>
      </c>
      <c r="M208" s="1" t="s">
        <v>65</v>
      </c>
      <c r="N208" s="3" t="s">
        <v>128</v>
      </c>
      <c r="O208" s="1"/>
    </row>
    <row r="209" spans="1:15" x14ac:dyDescent="0.25">
      <c r="A209" s="2" t="s">
        <v>241</v>
      </c>
      <c r="B209" s="1" t="s">
        <v>126</v>
      </c>
      <c r="C209" s="1" t="s">
        <v>21</v>
      </c>
      <c r="D209" s="1" t="s">
        <v>242</v>
      </c>
      <c r="E209" s="1" t="e">
        <f>VLOOKUP(Table1[[#This Row],[Navn DK]],product_nodes_new_id!A:B,2,FALSE)</f>
        <v>#N/A</v>
      </c>
      <c r="F209" s="1">
        <v>1.5509999999999999</v>
      </c>
      <c r="G209" s="1">
        <v>0</v>
      </c>
      <c r="H209" s="1">
        <v>3.1020000000000002E-2</v>
      </c>
      <c r="I209" s="1">
        <v>0</v>
      </c>
      <c r="J209" s="1">
        <v>1</v>
      </c>
      <c r="K209" s="1" t="s">
        <v>1273</v>
      </c>
      <c r="L209" s="1">
        <v>60</v>
      </c>
      <c r="M209" s="1" t="s">
        <v>65</v>
      </c>
      <c r="N209" s="3" t="s">
        <v>128</v>
      </c>
      <c r="O209" s="1"/>
    </row>
    <row r="210" spans="1:15" x14ac:dyDescent="0.25">
      <c r="A210" s="2" t="s">
        <v>218</v>
      </c>
      <c r="B210" s="1" t="s">
        <v>126</v>
      </c>
      <c r="C210" s="1" t="s">
        <v>21</v>
      </c>
      <c r="D210" s="1" t="s">
        <v>219</v>
      </c>
      <c r="E210" s="1" t="e">
        <f>VLOOKUP(Table1[[#This Row],[Navn DK]],product_nodes_new_id!A:B,2,FALSE)</f>
        <v>#N/A</v>
      </c>
      <c r="F210" s="1">
        <v>1.09395</v>
      </c>
      <c r="G210" s="1">
        <v>0</v>
      </c>
      <c r="H210" s="1">
        <v>1.485E-2</v>
      </c>
      <c r="I210" s="1">
        <v>0</v>
      </c>
      <c r="J210" s="1">
        <v>1</v>
      </c>
      <c r="K210" s="1" t="s">
        <v>1273</v>
      </c>
      <c r="L210" s="1">
        <v>28.5</v>
      </c>
      <c r="M210" s="1" t="s">
        <v>65</v>
      </c>
      <c r="N210" s="3" t="s">
        <v>128</v>
      </c>
      <c r="O210" s="1"/>
    </row>
    <row r="211" spans="1:15" x14ac:dyDescent="0.25">
      <c r="A211" s="2" t="s">
        <v>216</v>
      </c>
      <c r="B211" s="1" t="s">
        <v>126</v>
      </c>
      <c r="C211" s="1" t="s">
        <v>21</v>
      </c>
      <c r="D211" s="1" t="s">
        <v>217</v>
      </c>
      <c r="E211" s="1" t="e">
        <f>VLOOKUP(Table1[[#This Row],[Navn DK]],product_nodes_new_id!A:B,2,FALSE)</f>
        <v>#N/A</v>
      </c>
      <c r="F211" s="1">
        <v>0.78177000000000008</v>
      </c>
      <c r="G211" s="1">
        <v>0</v>
      </c>
      <c r="H211" s="1">
        <v>3.9468000000000003E-2</v>
      </c>
      <c r="I211" s="1">
        <v>-5.2830000000000002E-2</v>
      </c>
      <c r="J211" s="1">
        <v>1</v>
      </c>
      <c r="K211" s="1" t="s">
        <v>1273</v>
      </c>
      <c r="L211" s="1">
        <v>27.75</v>
      </c>
      <c r="M211" s="1" t="s">
        <v>65</v>
      </c>
      <c r="N211" s="3" t="s">
        <v>128</v>
      </c>
      <c r="O211" s="1"/>
    </row>
    <row r="212" spans="1:15" x14ac:dyDescent="0.25">
      <c r="A212" s="2" t="s">
        <v>222</v>
      </c>
      <c r="B212" s="1" t="s">
        <v>126</v>
      </c>
      <c r="C212" s="1" t="s">
        <v>21</v>
      </c>
      <c r="D212" s="1" t="s">
        <v>223</v>
      </c>
      <c r="E212" s="1" t="e">
        <f>VLOOKUP(Table1[[#This Row],[Navn DK]],product_nodes_new_id!A:B,2,FALSE)</f>
        <v>#N/A</v>
      </c>
      <c r="F212" s="1">
        <v>0.59015000000000006</v>
      </c>
      <c r="G212" s="1">
        <v>0</v>
      </c>
      <c r="H212" s="1">
        <v>1.8040000000000004E-2</v>
      </c>
      <c r="I212" s="1">
        <v>-2.3220000000000001E-2</v>
      </c>
      <c r="J212" s="1">
        <v>1</v>
      </c>
      <c r="K212" s="1" t="s">
        <v>1273</v>
      </c>
      <c r="L212" s="1">
        <v>29.75</v>
      </c>
      <c r="M212" s="1" t="s">
        <v>65</v>
      </c>
      <c r="N212" s="3" t="s">
        <v>128</v>
      </c>
      <c r="O212" s="1"/>
    </row>
    <row r="213" spans="1:15" x14ac:dyDescent="0.25">
      <c r="A213" s="2" t="s">
        <v>226</v>
      </c>
      <c r="B213" s="1" t="s">
        <v>126</v>
      </c>
      <c r="C213" s="1" t="s">
        <v>21</v>
      </c>
      <c r="D213" s="1" t="s">
        <v>227</v>
      </c>
      <c r="E213" s="1" t="e">
        <f>VLOOKUP(Table1[[#This Row],[Navn DK]],product_nodes_new_id!A:B,2,FALSE)</f>
        <v>#N/A</v>
      </c>
      <c r="F213" s="1">
        <v>1.0439000000000001</v>
      </c>
      <c r="G213" s="1">
        <v>0</v>
      </c>
      <c r="H213" s="1">
        <v>5.7557499999999998E-2</v>
      </c>
      <c r="I213" s="1">
        <v>0</v>
      </c>
      <c r="J213" s="1">
        <v>1</v>
      </c>
      <c r="K213" s="1" t="s">
        <v>1273</v>
      </c>
      <c r="L213" s="1">
        <v>30</v>
      </c>
      <c r="M213" s="1" t="s">
        <v>65</v>
      </c>
      <c r="N213" s="3" t="s">
        <v>128</v>
      </c>
      <c r="O213" s="1"/>
    </row>
    <row r="214" spans="1:15" x14ac:dyDescent="0.25">
      <c r="A214" s="2" t="s">
        <v>212</v>
      </c>
      <c r="B214" s="1" t="s">
        <v>126</v>
      </c>
      <c r="C214" s="1" t="s">
        <v>21</v>
      </c>
      <c r="D214" s="1" t="s">
        <v>213</v>
      </c>
      <c r="E214" s="1" t="e">
        <f>VLOOKUP(Table1[[#This Row],[Navn DK]],product_nodes_new_id!A:B,2,FALSE)</f>
        <v>#N/A</v>
      </c>
      <c r="F214" s="1">
        <v>0.89705000000000013</v>
      </c>
      <c r="G214" s="1">
        <v>0</v>
      </c>
      <c r="H214" s="1">
        <v>4.928000000000001E-3</v>
      </c>
      <c r="I214" s="1">
        <v>0</v>
      </c>
      <c r="J214" s="1">
        <v>1</v>
      </c>
      <c r="K214" s="1" t="s">
        <v>1273</v>
      </c>
      <c r="L214" s="1">
        <v>25</v>
      </c>
      <c r="M214" s="1" t="s">
        <v>65</v>
      </c>
      <c r="N214" s="3" t="s">
        <v>128</v>
      </c>
      <c r="O214" s="1"/>
    </row>
    <row r="215" spans="1:15" x14ac:dyDescent="0.25">
      <c r="A215" s="2" t="s">
        <v>210</v>
      </c>
      <c r="B215" s="1" t="s">
        <v>126</v>
      </c>
      <c r="C215" s="1" t="s">
        <v>21</v>
      </c>
      <c r="D215" s="1" t="s">
        <v>211</v>
      </c>
      <c r="E215" s="1" t="e">
        <f>VLOOKUP(Table1[[#This Row],[Navn DK]],product_nodes_new_id!A:B,2,FALSE)</f>
        <v>#N/A</v>
      </c>
      <c r="F215" s="1">
        <v>0.72599999999999998</v>
      </c>
      <c r="G215" s="1">
        <v>0</v>
      </c>
      <c r="H215" s="1">
        <v>4.0040000000000006E-3</v>
      </c>
      <c r="I215" s="1">
        <v>0</v>
      </c>
      <c r="J215" s="1">
        <v>1</v>
      </c>
      <c r="K215" s="1" t="s">
        <v>1273</v>
      </c>
      <c r="L215" s="1">
        <v>17</v>
      </c>
      <c r="M215" s="1" t="s">
        <v>65</v>
      </c>
      <c r="N215" s="3" t="s">
        <v>128</v>
      </c>
      <c r="O215" s="1"/>
    </row>
    <row r="216" spans="1:15" x14ac:dyDescent="0.25">
      <c r="A216" s="2" t="s">
        <v>214</v>
      </c>
      <c r="B216" s="1" t="s">
        <v>126</v>
      </c>
      <c r="C216" s="1" t="s">
        <v>21</v>
      </c>
      <c r="D216" s="1" t="s">
        <v>215</v>
      </c>
      <c r="E216" s="1" t="e">
        <f>VLOOKUP(Table1[[#This Row],[Navn DK]],product_nodes_new_id!A:B,2,FALSE)</f>
        <v>#N/A</v>
      </c>
      <c r="F216" s="1">
        <v>0.85360000000000014</v>
      </c>
      <c r="G216" s="1">
        <v>0</v>
      </c>
      <c r="H216" s="1">
        <v>1.7380000000000003E-2</v>
      </c>
      <c r="I216" s="1">
        <v>-2.4120000000000003E-2</v>
      </c>
      <c r="J216" s="1">
        <v>1</v>
      </c>
      <c r="K216" s="1" t="s">
        <v>1273</v>
      </c>
      <c r="L216" s="1">
        <v>26.5</v>
      </c>
      <c r="M216" s="1" t="s">
        <v>65</v>
      </c>
      <c r="N216" s="3" t="s">
        <v>128</v>
      </c>
      <c r="O216" s="1"/>
    </row>
    <row r="217" spans="1:15" x14ac:dyDescent="0.25">
      <c r="A217" s="2" t="s">
        <v>243</v>
      </c>
      <c r="B217" s="1" t="s">
        <v>126</v>
      </c>
      <c r="C217" s="1" t="s">
        <v>21</v>
      </c>
      <c r="D217" s="1" t="s">
        <v>244</v>
      </c>
      <c r="E217" s="1" t="e">
        <f>VLOOKUP(Table1[[#This Row],[Navn DK]],product_nodes_new_id!A:B,2,FALSE)</f>
        <v>#N/A</v>
      </c>
      <c r="F217" s="1">
        <v>1.2429999999999999</v>
      </c>
      <c r="G217" s="1">
        <v>0</v>
      </c>
      <c r="H217" s="1">
        <v>5.3460000000000001E-2</v>
      </c>
      <c r="I217" s="1">
        <v>-6.5520000000000009E-2</v>
      </c>
      <c r="J217" s="1">
        <v>1</v>
      </c>
      <c r="K217" s="1" t="s">
        <v>1273</v>
      </c>
      <c r="L217" s="1">
        <v>60</v>
      </c>
      <c r="M217" s="1" t="s">
        <v>65</v>
      </c>
      <c r="N217" s="15" t="s">
        <v>128</v>
      </c>
      <c r="O217" s="1"/>
    </row>
    <row r="218" spans="1:15" x14ac:dyDescent="0.25">
      <c r="A218" s="2" t="s">
        <v>224</v>
      </c>
      <c r="B218" s="1" t="s">
        <v>126</v>
      </c>
      <c r="C218" s="1" t="s">
        <v>21</v>
      </c>
      <c r="D218" s="1" t="s">
        <v>225</v>
      </c>
      <c r="E218" s="1" t="e">
        <f>VLOOKUP(Table1[[#This Row],[Navn DK]],product_nodes_new_id!A:B,2,FALSE)</f>
        <v>#N/A</v>
      </c>
      <c r="F218" s="1">
        <v>1.5015000000000003</v>
      </c>
      <c r="G218" s="1">
        <v>0</v>
      </c>
      <c r="H218" s="1">
        <v>1.6516500000000003E-2</v>
      </c>
      <c r="I218" s="1">
        <v>-4.8762E-2</v>
      </c>
      <c r="J218" s="1">
        <v>1</v>
      </c>
      <c r="K218" s="1" t="s">
        <v>1273</v>
      </c>
      <c r="L218" s="1">
        <v>30</v>
      </c>
      <c r="M218" s="1" t="s">
        <v>65</v>
      </c>
      <c r="N218" s="3" t="s">
        <v>128</v>
      </c>
      <c r="O218" s="1"/>
    </row>
    <row r="219" spans="1:15" x14ac:dyDescent="0.25">
      <c r="A219" s="2" t="s">
        <v>245</v>
      </c>
      <c r="B219" s="1" t="s">
        <v>126</v>
      </c>
      <c r="C219" s="1" t="s">
        <v>21</v>
      </c>
      <c r="D219" s="1" t="s">
        <v>246</v>
      </c>
      <c r="E219" s="1" t="e">
        <f>VLOOKUP(Table1[[#This Row],[Navn DK]],product_nodes_new_id!A:B,2,FALSE)</f>
        <v>#N/A</v>
      </c>
      <c r="F219" s="1">
        <v>1.5620000000000001</v>
      </c>
      <c r="G219" s="1">
        <v>0</v>
      </c>
      <c r="H219" s="1">
        <v>3.1020000000000002E-2</v>
      </c>
      <c r="I219" s="1">
        <v>0</v>
      </c>
      <c r="J219" s="1">
        <v>1</v>
      </c>
      <c r="K219" s="1" t="s">
        <v>1273</v>
      </c>
      <c r="L219" s="1">
        <v>60</v>
      </c>
      <c r="M219" s="1" t="s">
        <v>65</v>
      </c>
      <c r="N219" s="3" t="s">
        <v>128</v>
      </c>
      <c r="O219" s="1"/>
    </row>
    <row r="220" spans="1:15" x14ac:dyDescent="0.25">
      <c r="A220" s="2" t="s">
        <v>237</v>
      </c>
      <c r="B220" s="1" t="s">
        <v>126</v>
      </c>
      <c r="C220" s="1" t="s">
        <v>21</v>
      </c>
      <c r="D220" s="1" t="s">
        <v>238</v>
      </c>
      <c r="E220" s="1" t="e">
        <f>VLOOKUP(Table1[[#This Row],[Navn DK]],product_nodes_new_id!A:B,2,FALSE)</f>
        <v>#N/A</v>
      </c>
      <c r="F220" s="1">
        <v>0.81510000000000005</v>
      </c>
      <c r="G220" s="1">
        <v>0</v>
      </c>
      <c r="H220" s="1">
        <v>3.1559000000000004E-2</v>
      </c>
      <c r="I220" s="1">
        <v>-4.4459999999999993E-2</v>
      </c>
      <c r="J220" s="1">
        <v>1</v>
      </c>
      <c r="K220" s="1" t="s">
        <v>1273</v>
      </c>
      <c r="L220" s="1">
        <v>49.5</v>
      </c>
      <c r="M220" s="1" t="s">
        <v>65</v>
      </c>
      <c r="N220" s="3" t="s">
        <v>128</v>
      </c>
      <c r="O220" s="1"/>
    </row>
    <row r="221" spans="1:15" x14ac:dyDescent="0.25">
      <c r="A221" s="2" t="s">
        <v>231</v>
      </c>
      <c r="B221" s="1" t="s">
        <v>126</v>
      </c>
      <c r="C221" s="1" t="s">
        <v>21</v>
      </c>
      <c r="D221" s="1" t="s">
        <v>232</v>
      </c>
      <c r="E221" s="1" t="e">
        <f>VLOOKUP(Table1[[#This Row],[Navn DK]],product_nodes_new_id!A:B,2,FALSE)</f>
        <v>#N/A</v>
      </c>
      <c r="F221" s="1">
        <v>0.59510000000000007</v>
      </c>
      <c r="G221" s="1">
        <v>0</v>
      </c>
      <c r="H221" s="1">
        <v>2.1010000000000001E-2</v>
      </c>
      <c r="I221" s="1">
        <v>-2.9610000000000001E-2</v>
      </c>
      <c r="J221" s="1">
        <v>1</v>
      </c>
      <c r="K221" s="1" t="s">
        <v>1273</v>
      </c>
      <c r="L221" s="1">
        <v>36.450000000000003</v>
      </c>
      <c r="M221" s="1" t="s">
        <v>65</v>
      </c>
      <c r="N221" s="3" t="s">
        <v>128</v>
      </c>
      <c r="O221" s="1"/>
    </row>
    <row r="222" spans="1:15" x14ac:dyDescent="0.25">
      <c r="A222" s="2" t="s">
        <v>220</v>
      </c>
      <c r="B222" s="1" t="s">
        <v>126</v>
      </c>
      <c r="C222" s="1" t="s">
        <v>21</v>
      </c>
      <c r="D222" s="1" t="s">
        <v>221</v>
      </c>
      <c r="E222" s="1" t="e">
        <f>VLOOKUP(Table1[[#This Row],[Navn DK]],product_nodes_new_id!A:B,2,FALSE)</f>
        <v>#N/A</v>
      </c>
      <c r="F222" s="1">
        <v>0.55110000000000003</v>
      </c>
      <c r="G222" s="1">
        <v>0</v>
      </c>
      <c r="H222" s="1">
        <v>1.8271000000000006E-2</v>
      </c>
      <c r="I222" s="1">
        <v>-2.5740000000000002E-2</v>
      </c>
      <c r="J222" s="1">
        <v>1</v>
      </c>
      <c r="K222" s="1" t="s">
        <v>1273</v>
      </c>
      <c r="L222" s="1">
        <v>29</v>
      </c>
      <c r="M222" s="1" t="s">
        <v>65</v>
      </c>
      <c r="N222" s="3" t="s">
        <v>128</v>
      </c>
      <c r="O222" s="1"/>
    </row>
    <row r="223" spans="1:15" x14ac:dyDescent="0.25">
      <c r="A223" s="2" t="s">
        <v>235</v>
      </c>
      <c r="B223" s="1" t="s">
        <v>126</v>
      </c>
      <c r="C223" s="1" t="s">
        <v>21</v>
      </c>
      <c r="D223" s="1" t="s">
        <v>236</v>
      </c>
      <c r="E223" s="1" t="e">
        <f>VLOOKUP(Table1[[#This Row],[Navn DK]],product_nodes_new_id!A:B,2,FALSE)</f>
        <v>#N/A</v>
      </c>
      <c r="F223" s="1">
        <v>1.9470000000000003</v>
      </c>
      <c r="G223" s="1">
        <v>0</v>
      </c>
      <c r="H223" s="1">
        <v>2.9370000000000004E-2</v>
      </c>
      <c r="I223" s="1">
        <v>0</v>
      </c>
      <c r="J223" s="1">
        <v>1</v>
      </c>
      <c r="K223" s="1" t="s">
        <v>1273</v>
      </c>
      <c r="L223" s="1">
        <v>43.75</v>
      </c>
      <c r="M223" s="1" t="s">
        <v>65</v>
      </c>
      <c r="N223" s="3" t="s">
        <v>128</v>
      </c>
      <c r="O223" s="1"/>
    </row>
    <row r="224" spans="1:15" x14ac:dyDescent="0.25">
      <c r="A224" s="2" t="s">
        <v>247</v>
      </c>
      <c r="B224" s="1" t="s">
        <v>126</v>
      </c>
      <c r="C224" s="1" t="s">
        <v>21</v>
      </c>
      <c r="D224" s="1" t="s">
        <v>248</v>
      </c>
      <c r="E224" s="1" t="e">
        <f>VLOOKUP(Table1[[#This Row],[Navn DK]],product_nodes_new_id!A:B,2,FALSE)</f>
        <v>#N/A</v>
      </c>
      <c r="F224" s="1">
        <v>0.98010000000000008</v>
      </c>
      <c r="G224" s="1">
        <v>0</v>
      </c>
      <c r="H224" s="1">
        <v>4.598E-2</v>
      </c>
      <c r="I224" s="1">
        <v>0</v>
      </c>
      <c r="J224" s="1">
        <v>1</v>
      </c>
      <c r="K224" s="1" t="s">
        <v>1273</v>
      </c>
      <c r="L224" s="1">
        <v>75</v>
      </c>
      <c r="M224" s="1" t="s">
        <v>65</v>
      </c>
      <c r="N224" s="3" t="s">
        <v>128</v>
      </c>
      <c r="O224" s="1"/>
    </row>
    <row r="225" spans="1:15" x14ac:dyDescent="0.25">
      <c r="A225" s="2" t="s">
        <v>255</v>
      </c>
      <c r="B225" s="1" t="s">
        <v>126</v>
      </c>
      <c r="C225" s="1" t="s">
        <v>21</v>
      </c>
      <c r="D225" s="1" t="s">
        <v>256</v>
      </c>
      <c r="E225" s="1" t="e">
        <f>VLOOKUP(Table1[[#This Row],[Navn DK]],product_nodes_new_id!A:B,2,FALSE)</f>
        <v>#N/A</v>
      </c>
      <c r="F225" s="1">
        <v>4.7190000000000003</v>
      </c>
      <c r="G225" s="1">
        <v>0</v>
      </c>
      <c r="H225" s="1">
        <v>5.1908999999999997E-2</v>
      </c>
      <c r="I225" s="1">
        <v>-0.153252</v>
      </c>
      <c r="J225" s="1">
        <v>1</v>
      </c>
      <c r="K225" s="1" t="s">
        <v>1273</v>
      </c>
      <c r="L225" s="1">
        <v>100</v>
      </c>
      <c r="M225" s="1" t="s">
        <v>65</v>
      </c>
      <c r="N225" s="3" t="s">
        <v>128</v>
      </c>
      <c r="O225" s="1"/>
    </row>
    <row r="226" spans="1:15" x14ac:dyDescent="0.25">
      <c r="A226" s="2" t="s">
        <v>257</v>
      </c>
      <c r="B226" s="1" t="s">
        <v>126</v>
      </c>
      <c r="C226" s="1" t="s">
        <v>21</v>
      </c>
      <c r="D226" s="1" t="s">
        <v>258</v>
      </c>
      <c r="E226" s="1" t="e">
        <f>VLOOKUP(Table1[[#This Row],[Navn DK]],product_nodes_new_id!A:B,2,FALSE)</f>
        <v>#N/A</v>
      </c>
      <c r="F226" s="1">
        <v>1.4410000000000003</v>
      </c>
      <c r="G226" s="1">
        <v>0</v>
      </c>
      <c r="H226" s="1">
        <v>5.5660000000000001E-2</v>
      </c>
      <c r="I226" s="1">
        <v>-7.8210000000000002E-2</v>
      </c>
      <c r="J226" s="1">
        <v>1</v>
      </c>
      <c r="K226" s="1" t="s">
        <v>1273</v>
      </c>
      <c r="L226" s="1">
        <v>100</v>
      </c>
      <c r="M226" s="1" t="s">
        <v>65</v>
      </c>
      <c r="N226" s="3" t="s">
        <v>128</v>
      </c>
      <c r="O226" s="1"/>
    </row>
    <row r="227" spans="1:15" x14ac:dyDescent="0.25">
      <c r="A227" s="2" t="s">
        <v>261</v>
      </c>
      <c r="B227" s="1" t="s">
        <v>126</v>
      </c>
      <c r="C227" s="1" t="s">
        <v>21</v>
      </c>
      <c r="D227" s="1" t="s">
        <v>262</v>
      </c>
      <c r="E227" s="1" t="e">
        <f>VLOOKUP(Table1[[#This Row],[Navn DK]],product_nodes_new_id!A:B,2,FALSE)</f>
        <v>#N/A</v>
      </c>
      <c r="F227" s="1">
        <v>8.0938000000000017</v>
      </c>
      <c r="G227" s="1">
        <v>0</v>
      </c>
      <c r="H227" s="1">
        <v>9.1740000000000016E-2</v>
      </c>
      <c r="I227" s="1">
        <v>-0.12869999999999998</v>
      </c>
      <c r="J227" s="1">
        <v>1</v>
      </c>
      <c r="K227" s="1" t="s">
        <v>1273</v>
      </c>
      <c r="L227" s="1">
        <v>149</v>
      </c>
      <c r="M227" s="1" t="s">
        <v>65</v>
      </c>
      <c r="N227" s="3" t="s">
        <v>128</v>
      </c>
      <c r="O227" s="1"/>
    </row>
    <row r="228" spans="1:15" x14ac:dyDescent="0.25">
      <c r="A228" s="2" t="s">
        <v>251</v>
      </c>
      <c r="B228" s="1" t="s">
        <v>126</v>
      </c>
      <c r="C228" s="1" t="s">
        <v>21</v>
      </c>
      <c r="D228" s="1" t="s">
        <v>252</v>
      </c>
      <c r="E228" s="1" t="e">
        <f>VLOOKUP(Table1[[#This Row],[Navn DK]],product_nodes_new_id!A:B,2,FALSE)</f>
        <v>#N/A</v>
      </c>
      <c r="F228" s="1">
        <v>4.3043000000000005</v>
      </c>
      <c r="G228" s="1">
        <v>4.6090000000000006E-2</v>
      </c>
      <c r="H228" s="1">
        <v>4.7347300000000002E-2</v>
      </c>
      <c r="I228" s="1">
        <v>-7.4969999999999995E-2</v>
      </c>
      <c r="J228" s="1">
        <v>1</v>
      </c>
      <c r="K228" s="1" t="s">
        <v>1273</v>
      </c>
      <c r="L228" s="1">
        <v>78.25</v>
      </c>
      <c r="M228" s="1" t="s">
        <v>65</v>
      </c>
      <c r="N228" s="3" t="s">
        <v>128</v>
      </c>
      <c r="O228" s="1"/>
    </row>
    <row r="229" spans="1:15" x14ac:dyDescent="0.25">
      <c r="A229" s="2" t="s">
        <v>133</v>
      </c>
      <c r="B229" s="1" t="s">
        <v>126</v>
      </c>
      <c r="C229" s="1" t="s">
        <v>21</v>
      </c>
      <c r="D229" s="1" t="s">
        <v>134</v>
      </c>
      <c r="E229" s="1" t="e">
        <f>VLOOKUP(Table1[[#This Row],[Navn DK]],product_nodes_new_id!A:B,2,FALSE)</f>
        <v>#N/A</v>
      </c>
      <c r="F229" s="1">
        <v>1.4960000000000002</v>
      </c>
      <c r="G229" s="1">
        <v>0.47190000000000004</v>
      </c>
      <c r="H229" s="1">
        <v>0</v>
      </c>
      <c r="I229" s="1">
        <v>-0.35730000000000001</v>
      </c>
      <c r="J229" s="1">
        <v>1</v>
      </c>
      <c r="K229" s="1" t="s">
        <v>16</v>
      </c>
      <c r="L229" s="1">
        <v>1500</v>
      </c>
      <c r="M229" s="1" t="s">
        <v>65</v>
      </c>
      <c r="N229" s="3" t="s">
        <v>128</v>
      </c>
      <c r="O229" s="1"/>
    </row>
    <row r="230" spans="1:15" x14ac:dyDescent="0.25">
      <c r="A230" s="2" t="s">
        <v>287</v>
      </c>
      <c r="B230" s="1" t="s">
        <v>126</v>
      </c>
      <c r="C230" s="1" t="s">
        <v>21</v>
      </c>
      <c r="D230" s="1" t="s">
        <v>288</v>
      </c>
      <c r="E230" s="1" t="e">
        <f>VLOOKUP(Table1[[#This Row],[Navn DK]],product_nodes_new_id!A:B,2,FALSE)</f>
        <v>#N/A</v>
      </c>
      <c r="F230" s="1">
        <v>366.3</v>
      </c>
      <c r="G230" s="1">
        <v>2.9810000000000003</v>
      </c>
      <c r="H230" s="1">
        <v>19.690000000000001</v>
      </c>
      <c r="I230" s="1">
        <v>-1.8180000000000001</v>
      </c>
      <c r="J230" s="1">
        <v>1</v>
      </c>
      <c r="K230" s="1" t="s">
        <v>283</v>
      </c>
      <c r="L230" s="1">
        <v>1660</v>
      </c>
      <c r="M230" s="1" t="s">
        <v>65</v>
      </c>
      <c r="N230" s="3" t="s">
        <v>128</v>
      </c>
      <c r="O230" s="1"/>
    </row>
    <row r="231" spans="1:15" x14ac:dyDescent="0.25">
      <c r="A231" s="2" t="s">
        <v>289</v>
      </c>
      <c r="B231" s="1" t="s">
        <v>126</v>
      </c>
      <c r="C231" s="1" t="s">
        <v>21</v>
      </c>
      <c r="D231" s="1" t="s">
        <v>290</v>
      </c>
      <c r="E231" s="1" t="e">
        <f>VLOOKUP(Table1[[#This Row],[Navn DK]],product_nodes_new_id!A:B,2,FALSE)</f>
        <v>#N/A</v>
      </c>
      <c r="F231" s="1">
        <v>172.15</v>
      </c>
      <c r="G231" s="1">
        <v>2.9810000000000003</v>
      </c>
      <c r="H231" s="1">
        <v>0.1595</v>
      </c>
      <c r="I231" s="1">
        <v>-1.8180000000000001</v>
      </c>
      <c r="J231" s="1">
        <v>1</v>
      </c>
      <c r="K231" s="1" t="s">
        <v>283</v>
      </c>
      <c r="L231" s="1">
        <v>1783.75</v>
      </c>
      <c r="M231" s="1" t="s">
        <v>65</v>
      </c>
      <c r="N231" s="3" t="s">
        <v>128</v>
      </c>
      <c r="O231" s="1"/>
    </row>
    <row r="232" spans="1:15" x14ac:dyDescent="0.25">
      <c r="A232" s="2" t="s">
        <v>145</v>
      </c>
      <c r="B232" s="1" t="s">
        <v>126</v>
      </c>
      <c r="C232" s="1" t="s">
        <v>21</v>
      </c>
      <c r="D232" s="1" t="s">
        <v>146</v>
      </c>
      <c r="E232" s="1" t="e">
        <f>VLOOKUP(Table1[[#This Row],[Navn DK]],product_nodes_new_id!A:B,2,FALSE)</f>
        <v>#N/A</v>
      </c>
      <c r="F232" s="1">
        <v>1.4960000000000002</v>
      </c>
      <c r="G232" s="1">
        <v>0.47190000000000004</v>
      </c>
      <c r="H232" s="1">
        <v>1.8810000000000004E-2</v>
      </c>
      <c r="I232" s="1">
        <v>-3.141E-2</v>
      </c>
      <c r="J232" s="1">
        <v>1</v>
      </c>
      <c r="K232" s="1" t="s">
        <v>16</v>
      </c>
      <c r="L232" s="1">
        <v>1700</v>
      </c>
      <c r="M232" s="1" t="s">
        <v>65</v>
      </c>
      <c r="N232" s="3" t="s">
        <v>128</v>
      </c>
      <c r="O232" s="1"/>
    </row>
    <row r="233" spans="1:15" x14ac:dyDescent="0.25">
      <c r="A233" s="2" t="s">
        <v>675</v>
      </c>
      <c r="B233" s="1" t="s">
        <v>312</v>
      </c>
      <c r="C233" s="1" t="s">
        <v>676</v>
      </c>
      <c r="D233" s="1" t="s">
        <v>1783</v>
      </c>
      <c r="E233" s="1" t="str">
        <f>VLOOKUP(Table1[[#This Row],[Navn DK]],product_nodes_new_id!A:B,2,FALSE)</f>
        <v>8cc9ef5a-4e6b-50fa-b1e1-3754126c3c22</v>
      </c>
      <c r="F233" s="1">
        <v>15.6468799763303</v>
      </c>
      <c r="G233" s="1">
        <v>0.70365616013636501</v>
      </c>
      <c r="H233" s="1">
        <v>0</v>
      </c>
      <c r="I233" s="1">
        <v>-0.16376044141183199</v>
      </c>
      <c r="J233" s="1">
        <v>1</v>
      </c>
      <c r="K233" s="1" t="s">
        <v>1272</v>
      </c>
      <c r="L233" s="1">
        <v>104</v>
      </c>
      <c r="M233" s="1" t="s">
        <v>23</v>
      </c>
      <c r="N233" s="3" t="s">
        <v>677</v>
      </c>
      <c r="O233" s="1"/>
    </row>
    <row r="234" spans="1:15" x14ac:dyDescent="0.25">
      <c r="A234" s="2" t="s">
        <v>751</v>
      </c>
      <c r="B234" s="1" t="s">
        <v>312</v>
      </c>
      <c r="C234" s="1" t="s">
        <v>752</v>
      </c>
      <c r="D234" s="1" t="s">
        <v>1785</v>
      </c>
      <c r="E234" s="1" t="str">
        <f>VLOOKUP(Table1[[#This Row],[Navn DK]],product_nodes_new_id!A:B,2,FALSE)</f>
        <v>80023c6d-3032-53c2-a004-f4552e8d491a</v>
      </c>
      <c r="F234" s="1">
        <v>14.293573688607999</v>
      </c>
      <c r="G234" s="1">
        <v>0.351828080068182</v>
      </c>
      <c r="H234" s="1">
        <v>0</v>
      </c>
      <c r="I234" s="1">
        <v>-8.1880220705915996E-2</v>
      </c>
      <c r="J234" s="1">
        <v>1</v>
      </c>
      <c r="K234" s="1" t="s">
        <v>1272</v>
      </c>
      <c r="L234" s="1">
        <v>52</v>
      </c>
      <c r="M234" s="1" t="s">
        <v>23</v>
      </c>
      <c r="N234" s="3" t="s">
        <v>753</v>
      </c>
      <c r="O234" s="1"/>
    </row>
    <row r="235" spans="1:15" x14ac:dyDescent="0.25">
      <c r="A235" s="2" t="s">
        <v>765</v>
      </c>
      <c r="B235" s="1" t="s">
        <v>312</v>
      </c>
      <c r="C235" s="1" t="s">
        <v>766</v>
      </c>
      <c r="D235" s="1" t="s">
        <v>1787</v>
      </c>
      <c r="E235" s="1" t="str">
        <f>VLOOKUP(Table1[[#This Row],[Navn DK]],product_nodes_new_id!A:B,2,FALSE)</f>
        <v>66a24e62-c29f-57c8-9cc9-ca450de506d4</v>
      </c>
      <c r="F235" s="1">
        <v>30.971333928030202</v>
      </c>
      <c r="G235" s="1">
        <v>0.52774212010227395</v>
      </c>
      <c r="H235" s="1">
        <v>0</v>
      </c>
      <c r="I235" s="1">
        <v>-0.12282033105887399</v>
      </c>
      <c r="J235" s="1">
        <v>1</v>
      </c>
      <c r="K235" s="1" t="s">
        <v>1272</v>
      </c>
      <c r="L235" s="1">
        <v>78</v>
      </c>
      <c r="M235" s="1" t="s">
        <v>23</v>
      </c>
      <c r="N235" s="3" t="s">
        <v>767</v>
      </c>
      <c r="O235" s="1"/>
    </row>
    <row r="236" spans="1:15" x14ac:dyDescent="0.25">
      <c r="A236" s="2" t="s">
        <v>757</v>
      </c>
      <c r="B236" s="1" t="s">
        <v>312</v>
      </c>
      <c r="C236" s="1" t="s">
        <v>758</v>
      </c>
      <c r="D236" s="1" t="s">
        <v>1789</v>
      </c>
      <c r="E236" s="1" t="str">
        <f>VLOOKUP(Table1[[#This Row],[Navn DK]],product_nodes_new_id!A:B,2,FALSE)</f>
        <v>434be529-6838-51e5-ae3f-bd3cd0b288ca</v>
      </c>
      <c r="F236" s="1">
        <v>30.295426870414602</v>
      </c>
      <c r="G236" s="1">
        <v>0.351828080068182</v>
      </c>
      <c r="H236" s="1">
        <v>0</v>
      </c>
      <c r="I236" s="1">
        <v>-8.1880220705915996E-2</v>
      </c>
      <c r="J236" s="1">
        <v>1</v>
      </c>
      <c r="K236" s="1" t="s">
        <v>1272</v>
      </c>
      <c r="L236" s="1">
        <v>52</v>
      </c>
      <c r="M236" s="1" t="s">
        <v>23</v>
      </c>
      <c r="N236" s="3" t="s">
        <v>759</v>
      </c>
      <c r="O236" s="1"/>
    </row>
    <row r="237" spans="1:15" x14ac:dyDescent="0.25">
      <c r="A237" s="2" t="s">
        <v>713</v>
      </c>
      <c r="B237" s="1" t="s">
        <v>312</v>
      </c>
      <c r="C237" s="1" t="s">
        <v>714</v>
      </c>
      <c r="D237" s="1" t="s">
        <v>1791</v>
      </c>
      <c r="E237" s="1" t="str">
        <f>VLOOKUP(Table1[[#This Row],[Navn DK]],product_nodes_new_id!A:B,2,FALSE)</f>
        <v>5d63ef48-7804-59b7-8089-bf76b122c7ab</v>
      </c>
      <c r="F237" s="1">
        <v>5.9040423233376096</v>
      </c>
      <c r="G237" s="1">
        <v>1.40731232027273</v>
      </c>
      <c r="H237" s="1">
        <v>0</v>
      </c>
      <c r="I237" s="1">
        <v>-0.32752088282366398</v>
      </c>
      <c r="J237" s="1">
        <v>1</v>
      </c>
      <c r="K237" s="1" t="s">
        <v>1272</v>
      </c>
      <c r="L237" s="1">
        <v>208</v>
      </c>
      <c r="M237" s="1" t="s">
        <v>23</v>
      </c>
      <c r="N237" s="3" t="s">
        <v>715</v>
      </c>
      <c r="O237" s="1"/>
    </row>
    <row r="238" spans="1:15" x14ac:dyDescent="0.25">
      <c r="A238" s="2" t="s">
        <v>615</v>
      </c>
      <c r="B238" s="1" t="s">
        <v>312</v>
      </c>
      <c r="C238" s="1" t="s">
        <v>616</v>
      </c>
      <c r="D238" s="1" t="s">
        <v>1793</v>
      </c>
      <c r="E238" s="1" t="str">
        <f>VLOOKUP(Table1[[#This Row],[Navn DK]],product_nodes_new_id!A:B,2,FALSE)</f>
        <v>c1bf5ad9-1dff-5f44-9237-886b9566221e</v>
      </c>
      <c r="F238" s="1">
        <v>0.48856375708829203</v>
      </c>
      <c r="G238" s="1">
        <v>0.3306938071046</v>
      </c>
      <c r="H238" s="1">
        <v>0</v>
      </c>
      <c r="I238" s="1">
        <v>-7.7374953717106898E-2</v>
      </c>
      <c r="J238" s="1">
        <v>1</v>
      </c>
      <c r="K238" s="1" t="s">
        <v>1272</v>
      </c>
      <c r="L238" s="1">
        <v>0.12</v>
      </c>
      <c r="M238" s="1" t="s">
        <v>23</v>
      </c>
      <c r="N238" s="3" t="s">
        <v>617</v>
      </c>
      <c r="O238" s="1"/>
    </row>
    <row r="239" spans="1:15" x14ac:dyDescent="0.25">
      <c r="A239" s="2" t="s">
        <v>497</v>
      </c>
      <c r="B239" s="1" t="s">
        <v>312</v>
      </c>
      <c r="C239" s="1" t="s">
        <v>498</v>
      </c>
      <c r="D239" s="1" t="s">
        <v>1795</v>
      </c>
      <c r="E239" s="1" t="str">
        <f>VLOOKUP(Table1[[#This Row],[Navn DK]],product_nodes_new_id!A:B,2,FALSE)</f>
        <v>424c1833-05c0-5d17-8202-7619ede9a9bd</v>
      </c>
      <c r="F239" s="1">
        <v>10.370124316294399</v>
      </c>
      <c r="G239" s="1">
        <v>2.8724905166834001</v>
      </c>
      <c r="H239" s="1">
        <v>0</v>
      </c>
      <c r="I239" s="1">
        <v>-0.82777701222243905</v>
      </c>
      <c r="J239" s="1">
        <v>1</v>
      </c>
      <c r="K239" s="1" t="s">
        <v>16</v>
      </c>
      <c r="L239" s="1">
        <v>1070</v>
      </c>
      <c r="M239" s="1" t="s">
        <v>65</v>
      </c>
      <c r="N239" s="3" t="s">
        <v>1169</v>
      </c>
      <c r="O239" s="1"/>
    </row>
    <row r="240" spans="1:15" x14ac:dyDescent="0.25">
      <c r="A240" s="2" t="s">
        <v>970</v>
      </c>
      <c r="B240" s="1" t="s">
        <v>312</v>
      </c>
      <c r="C240" s="1" t="s">
        <v>971</v>
      </c>
      <c r="D240" s="1" t="s">
        <v>2200</v>
      </c>
      <c r="E240" s="1" t="e">
        <f>VLOOKUP(Table1[[#This Row],[Navn DK]],product_nodes_new_id!A:B,2,FALSE)</f>
        <v>#N/A</v>
      </c>
      <c r="F240" s="1">
        <v>754.05645607215797</v>
      </c>
      <c r="G240" s="1">
        <v>11.068336947929</v>
      </c>
      <c r="H240" s="1">
        <v>1.3898666436973901</v>
      </c>
      <c r="I240" s="1">
        <v>-115.197831768485</v>
      </c>
      <c r="J240" s="1">
        <v>1</v>
      </c>
      <c r="K240" s="1" t="s">
        <v>119</v>
      </c>
      <c r="L240" s="1">
        <v>221</v>
      </c>
      <c r="M240" s="1" t="s">
        <v>120</v>
      </c>
      <c r="N240" s="3" t="s">
        <v>972</v>
      </c>
      <c r="O240" s="1"/>
    </row>
    <row r="241" spans="1:15" x14ac:dyDescent="0.25">
      <c r="A241" s="2" t="s">
        <v>1049</v>
      </c>
      <c r="B241" s="1" t="s">
        <v>312</v>
      </c>
      <c r="C241" s="1" t="s">
        <v>1050</v>
      </c>
      <c r="D241" s="1" t="s">
        <v>2201</v>
      </c>
      <c r="E241" s="1" t="e">
        <f>VLOOKUP(Table1[[#This Row],[Navn DK]],product_nodes_new_id!A:B,2,FALSE)</f>
        <v>#N/A</v>
      </c>
      <c r="F241" s="1">
        <v>2856.3589950917499</v>
      </c>
      <c r="G241" s="1">
        <v>49.8205033552305</v>
      </c>
      <c r="H241" s="1">
        <v>3.3813094330382598</v>
      </c>
      <c r="I241" s="1">
        <v>-518.62507323685099</v>
      </c>
      <c r="J241" s="1">
        <v>1</v>
      </c>
      <c r="K241" s="1" t="s">
        <v>119</v>
      </c>
      <c r="L241" s="1">
        <v>992</v>
      </c>
      <c r="M241" s="1" t="s">
        <v>120</v>
      </c>
      <c r="N241" s="3" t="s">
        <v>1051</v>
      </c>
      <c r="O241" s="1"/>
    </row>
    <row r="242" spans="1:15" x14ac:dyDescent="0.25">
      <c r="A242" s="2" t="s">
        <v>1000</v>
      </c>
      <c r="B242" s="1" t="s">
        <v>312</v>
      </c>
      <c r="C242" s="1" t="s">
        <v>1001</v>
      </c>
      <c r="D242" s="1" t="s">
        <v>2202</v>
      </c>
      <c r="E242" s="1" t="e">
        <f>VLOOKUP(Table1[[#This Row],[Navn DK]],product_nodes_new_id!A:B,2,FALSE)</f>
        <v>#N/A</v>
      </c>
      <c r="F242" s="1">
        <v>1207.8551377807401</v>
      </c>
      <c r="G242" s="1">
        <v>17.722406197053399</v>
      </c>
      <c r="H242" s="1">
        <v>2.3191911568974302</v>
      </c>
      <c r="I242" s="1">
        <v>-184.51983965829601</v>
      </c>
      <c r="J242" s="1">
        <v>1</v>
      </c>
      <c r="K242" s="1" t="s">
        <v>119</v>
      </c>
      <c r="L242" s="1">
        <v>354</v>
      </c>
      <c r="M242" s="1" t="s">
        <v>120</v>
      </c>
      <c r="N242" s="3" t="s">
        <v>1002</v>
      </c>
      <c r="O242" s="1"/>
    </row>
    <row r="243" spans="1:15" x14ac:dyDescent="0.25">
      <c r="A243" s="2" t="s">
        <v>970</v>
      </c>
      <c r="B243" s="1" t="s">
        <v>312</v>
      </c>
      <c r="C243" s="1" t="s">
        <v>971</v>
      </c>
      <c r="D243" s="1" t="s">
        <v>2203</v>
      </c>
      <c r="E243" s="1" t="e">
        <f>VLOOKUP(Table1[[#This Row],[Navn DK]],product_nodes_new_id!A:B,2,FALSE)</f>
        <v>#N/A</v>
      </c>
      <c r="F243" s="1">
        <v>754.05645607215797</v>
      </c>
      <c r="G243" s="1">
        <v>11.068336947929</v>
      </c>
      <c r="H243" s="1">
        <v>1.3898666436973901</v>
      </c>
      <c r="I243" s="1">
        <v>-115.197831768485</v>
      </c>
      <c r="J243" s="1">
        <v>1</v>
      </c>
      <c r="K243" s="1" t="s">
        <v>119</v>
      </c>
      <c r="L243" s="1">
        <v>221</v>
      </c>
      <c r="M243" s="1" t="s">
        <v>120</v>
      </c>
      <c r="N243" s="3" t="s">
        <v>972</v>
      </c>
      <c r="O243" s="1"/>
    </row>
    <row r="244" spans="1:15" x14ac:dyDescent="0.25">
      <c r="A244" s="2" t="s">
        <v>1049</v>
      </c>
      <c r="B244" s="1" t="s">
        <v>312</v>
      </c>
      <c r="C244" s="1" t="s">
        <v>1050</v>
      </c>
      <c r="D244" s="1" t="s">
        <v>2204</v>
      </c>
      <c r="E244" s="1" t="e">
        <f>VLOOKUP(Table1[[#This Row],[Navn DK]],product_nodes_new_id!A:B,2,FALSE)</f>
        <v>#N/A</v>
      </c>
      <c r="F244" s="1">
        <v>2856.3589950917499</v>
      </c>
      <c r="G244" s="1">
        <v>49.8205033552305</v>
      </c>
      <c r="H244" s="1">
        <v>3.3813094330382598</v>
      </c>
      <c r="I244" s="1">
        <v>-518.62507323685099</v>
      </c>
      <c r="J244" s="1">
        <v>1</v>
      </c>
      <c r="K244" s="1" t="s">
        <v>119</v>
      </c>
      <c r="L244" s="1">
        <v>992</v>
      </c>
      <c r="M244" s="1" t="s">
        <v>120</v>
      </c>
      <c r="N244" s="3" t="s">
        <v>1051</v>
      </c>
      <c r="O244" s="1"/>
    </row>
    <row r="245" spans="1:15" x14ac:dyDescent="0.25">
      <c r="A245" s="2" t="s">
        <v>1000</v>
      </c>
      <c r="B245" s="1" t="s">
        <v>312</v>
      </c>
      <c r="C245" s="1" t="s">
        <v>1001</v>
      </c>
      <c r="D245" s="1" t="s">
        <v>2205</v>
      </c>
      <c r="E245" s="1" t="e">
        <f>VLOOKUP(Table1[[#This Row],[Navn DK]],product_nodes_new_id!A:B,2,FALSE)</f>
        <v>#N/A</v>
      </c>
      <c r="F245" s="1">
        <v>1207.8551377807401</v>
      </c>
      <c r="G245" s="1">
        <v>17.722406197053399</v>
      </c>
      <c r="H245" s="1">
        <v>2.3191911568974302</v>
      </c>
      <c r="I245" s="1">
        <v>-184.51983965829601</v>
      </c>
      <c r="J245" s="1">
        <v>1</v>
      </c>
      <c r="K245" s="1" t="s">
        <v>119</v>
      </c>
      <c r="L245" s="1">
        <v>354</v>
      </c>
      <c r="M245" s="1" t="s">
        <v>120</v>
      </c>
      <c r="N245" s="3" t="s">
        <v>1002</v>
      </c>
      <c r="O245" s="1"/>
    </row>
    <row r="246" spans="1:15" x14ac:dyDescent="0.25">
      <c r="A246" s="2" t="s">
        <v>768</v>
      </c>
      <c r="B246" s="1" t="s">
        <v>312</v>
      </c>
      <c r="C246" s="1" t="s">
        <v>769</v>
      </c>
      <c r="D246" s="1" t="s">
        <v>1797</v>
      </c>
      <c r="E246" s="1" t="str">
        <f>VLOOKUP(Table1[[#This Row],[Navn DK]],product_nodes_new_id!A:B,2,FALSE)</f>
        <v>58c088b7-0a08-5c26-9022-e1d2d84cd31d</v>
      </c>
      <c r="F246" s="1">
        <v>-639.29999999999995</v>
      </c>
      <c r="G246" s="1">
        <v>983.2</v>
      </c>
      <c r="H246" s="1">
        <v>0</v>
      </c>
      <c r="I246" s="1">
        <v>-165.5</v>
      </c>
      <c r="J246" s="1">
        <v>1</v>
      </c>
      <c r="K246" s="1" t="s">
        <v>1274</v>
      </c>
      <c r="L246" s="1">
        <v>600</v>
      </c>
      <c r="M246" s="1" t="s">
        <v>65</v>
      </c>
      <c r="N246" s="3" t="s">
        <v>770</v>
      </c>
      <c r="O246" s="1"/>
    </row>
    <row r="247" spans="1:15" x14ac:dyDescent="0.25">
      <c r="A247" s="2" t="s">
        <v>600</v>
      </c>
      <c r="B247" s="1" t="s">
        <v>312</v>
      </c>
      <c r="C247" s="1" t="s">
        <v>601</v>
      </c>
      <c r="D247" s="1" t="s">
        <v>1805</v>
      </c>
      <c r="E247" s="1" t="str">
        <f>VLOOKUP(Table1[[#This Row],[Navn DK]],product_nodes_new_id!A:B,2,FALSE)</f>
        <v>7e7523e5-c203-5c94-8920-417f4ef50491</v>
      </c>
      <c r="F247" s="1">
        <v>123.71</v>
      </c>
      <c r="G247" s="1">
        <v>27.3</v>
      </c>
      <c r="H247" s="1">
        <v>1.06</v>
      </c>
      <c r="I247" s="1">
        <v>-37.4</v>
      </c>
      <c r="J247" s="1">
        <v>1</v>
      </c>
      <c r="K247" s="1" t="s">
        <v>1272</v>
      </c>
      <c r="L247" s="1">
        <v>44.2</v>
      </c>
      <c r="M247" s="1" t="s">
        <v>23</v>
      </c>
      <c r="N247" s="3" t="s">
        <v>602</v>
      </c>
      <c r="O247" s="1"/>
    </row>
    <row r="248" spans="1:15" x14ac:dyDescent="0.25">
      <c r="A248" s="2" t="s">
        <v>644</v>
      </c>
      <c r="B248" s="1" t="s">
        <v>312</v>
      </c>
      <c r="C248" s="1" t="s">
        <v>645</v>
      </c>
      <c r="D248" s="1" t="s">
        <v>1807</v>
      </c>
      <c r="E248" s="1" t="str">
        <f>VLOOKUP(Table1[[#This Row],[Navn DK]],product_nodes_new_id!A:B,2,FALSE)</f>
        <v>97cd1652-ab3d-532f-b08b-26a0d9e4c2d7</v>
      </c>
      <c r="F248" s="1">
        <v>5.4903372251291396</v>
      </c>
      <c r="G248" s="1">
        <v>0</v>
      </c>
      <c r="H248" s="1">
        <v>0</v>
      </c>
      <c r="I248" s="1">
        <v>0</v>
      </c>
      <c r="J248" s="1">
        <v>1</v>
      </c>
      <c r="K248" s="1" t="s">
        <v>1272</v>
      </c>
      <c r="L248" s="1">
        <v>1</v>
      </c>
      <c r="M248" s="1" t="s">
        <v>23</v>
      </c>
      <c r="N248" s="3" t="s">
        <v>646</v>
      </c>
      <c r="O248" s="1"/>
    </row>
    <row r="249" spans="1:15" x14ac:dyDescent="0.25">
      <c r="A249" s="2" t="s">
        <v>426</v>
      </c>
      <c r="B249" s="1" t="s">
        <v>312</v>
      </c>
      <c r="C249" s="1" t="s">
        <v>427</v>
      </c>
      <c r="D249" s="1" t="s">
        <v>2206</v>
      </c>
      <c r="E249" s="1" t="e">
        <f>VLOOKUP(Table1[[#This Row],[Navn DK]],product_nodes_new_id!A:B,2,FALSE)</f>
        <v>#N/A</v>
      </c>
      <c r="F249" s="1">
        <v>1.45092127457102</v>
      </c>
      <c r="G249" s="1">
        <v>0</v>
      </c>
      <c r="H249" s="1">
        <v>1.6092731618195199E-2</v>
      </c>
      <c r="I249" s="1">
        <v>-4.0834914026389698E-3</v>
      </c>
      <c r="J249" s="1">
        <v>1</v>
      </c>
      <c r="K249" s="1" t="s">
        <v>16</v>
      </c>
      <c r="L249" s="1">
        <v>1</v>
      </c>
      <c r="M249" s="1" t="s">
        <v>17</v>
      </c>
      <c r="N249" s="3" t="s">
        <v>1146</v>
      </c>
      <c r="O249" s="1"/>
    </row>
    <row r="250" spans="1:15" x14ac:dyDescent="0.25">
      <c r="A250" s="2" t="s">
        <v>548</v>
      </c>
      <c r="B250" s="1" t="s">
        <v>312</v>
      </c>
      <c r="C250" s="1" t="s">
        <v>549</v>
      </c>
      <c r="D250" s="1" t="s">
        <v>1811</v>
      </c>
      <c r="E250" s="1" t="str">
        <f>VLOOKUP(Table1[[#This Row],[Navn DK]],product_nodes_new_id!A:B,2,FALSE)</f>
        <v>91b029e2-8286-52f7-a895-e607be6d1769</v>
      </c>
      <c r="F250" s="1">
        <v>2.08057521856102</v>
      </c>
      <c r="G250" s="1">
        <v>0</v>
      </c>
      <c r="H250" s="1">
        <v>1.6092731618195199E-2</v>
      </c>
      <c r="I250" s="1">
        <v>-3.5001354879762598E-3</v>
      </c>
      <c r="J250" s="1">
        <v>1</v>
      </c>
      <c r="K250" s="1" t="s">
        <v>16</v>
      </c>
      <c r="L250" s="1">
        <v>1</v>
      </c>
      <c r="M250" s="1" t="s">
        <v>17</v>
      </c>
      <c r="N250" s="3" t="s">
        <v>1188</v>
      </c>
      <c r="O250" s="1"/>
    </row>
    <row r="251" spans="1:15" x14ac:dyDescent="0.25">
      <c r="A251" s="2" t="s">
        <v>318</v>
      </c>
      <c r="B251" s="1" t="s">
        <v>312</v>
      </c>
      <c r="C251" s="1" t="s">
        <v>319</v>
      </c>
      <c r="D251" s="1" t="s">
        <v>1813</v>
      </c>
      <c r="E251" s="1" t="str">
        <f>VLOOKUP(Table1[[#This Row],[Navn DK]],product_nodes_new_id!A:B,2,FALSE)</f>
        <v>c55132d9-697e-5b62-a687-d8dffa6a9c31</v>
      </c>
      <c r="F251" s="1">
        <v>0.87731371896645505</v>
      </c>
      <c r="G251" s="1">
        <v>0</v>
      </c>
      <c r="H251" s="1">
        <v>1.6092731618195199E-2</v>
      </c>
      <c r="I251" s="1">
        <v>-4.6668473173016797E-3</v>
      </c>
      <c r="J251" s="1">
        <v>1</v>
      </c>
      <c r="K251" s="1" t="s">
        <v>16</v>
      </c>
      <c r="L251" s="1">
        <v>1</v>
      </c>
      <c r="M251" s="1" t="s">
        <v>17</v>
      </c>
      <c r="N251" s="3" t="s">
        <v>1113</v>
      </c>
      <c r="O251" s="1"/>
    </row>
    <row r="252" spans="1:15" x14ac:dyDescent="0.25">
      <c r="A252" s="2" t="s">
        <v>478</v>
      </c>
      <c r="B252" s="1" t="s">
        <v>312</v>
      </c>
      <c r="C252" s="1" t="s">
        <v>479</v>
      </c>
      <c r="D252" s="1" t="s">
        <v>1815</v>
      </c>
      <c r="E252" s="1" t="str">
        <f>VLOOKUP(Table1[[#This Row],[Navn DK]],product_nodes_new_id!A:B,2,FALSE)</f>
        <v>4a8e2389-b022-50b0-b860-3166f788659f</v>
      </c>
      <c r="F252" s="1">
        <v>0.82065921827616295</v>
      </c>
      <c r="G252" s="1">
        <v>0</v>
      </c>
      <c r="H252" s="1">
        <v>1.6092731618195199E-2</v>
      </c>
      <c r="I252" s="1">
        <v>-4.6668473173016797E-3</v>
      </c>
      <c r="J252" s="1">
        <v>1</v>
      </c>
      <c r="K252" s="1" t="s">
        <v>16</v>
      </c>
      <c r="L252" s="1">
        <v>1</v>
      </c>
      <c r="M252" s="1" t="s">
        <v>17</v>
      </c>
      <c r="N252" s="3" t="s">
        <v>1162</v>
      </c>
      <c r="O252" s="1"/>
    </row>
    <row r="253" spans="1:15" x14ac:dyDescent="0.25">
      <c r="A253" s="2" t="s">
        <v>380</v>
      </c>
      <c r="B253" s="1" t="s">
        <v>312</v>
      </c>
      <c r="C253" s="1" t="s">
        <v>381</v>
      </c>
      <c r="D253" s="1" t="s">
        <v>1817</v>
      </c>
      <c r="E253" s="1" t="str">
        <f>VLOOKUP(Table1[[#This Row],[Navn DK]],product_nodes_new_id!A:B,2,FALSE)</f>
        <v>81b6557b-2afd-5054-b748-79fad2c141f1</v>
      </c>
      <c r="F253" s="1">
        <v>1.3740601180638901</v>
      </c>
      <c r="G253" s="1">
        <v>0</v>
      </c>
      <c r="H253" s="1">
        <v>1.6092731618195199E-2</v>
      </c>
      <c r="I253" s="1">
        <v>-3.7043100581081998E-3</v>
      </c>
      <c r="J253" s="1">
        <v>1</v>
      </c>
      <c r="K253" s="1" t="s">
        <v>16</v>
      </c>
      <c r="L253" s="1">
        <v>1</v>
      </c>
      <c r="M253" s="1" t="s">
        <v>17</v>
      </c>
      <c r="N253" s="3" t="s">
        <v>1132</v>
      </c>
      <c r="O253" s="1"/>
    </row>
    <row r="254" spans="1:15" x14ac:dyDescent="0.25">
      <c r="A254" s="2" t="s">
        <v>523</v>
      </c>
      <c r="B254" s="1" t="s">
        <v>312</v>
      </c>
      <c r="C254" s="1" t="s">
        <v>524</v>
      </c>
      <c r="D254" s="1" t="s">
        <v>1819</v>
      </c>
      <c r="E254" s="1" t="str">
        <f>VLOOKUP(Table1[[#This Row],[Navn DK]],product_nodes_new_id!A:B,2,FALSE)</f>
        <v>feeb3b0a-b190-5285-a8d1-153d24e22974</v>
      </c>
      <c r="F254" s="1">
        <v>2.52954608675486</v>
      </c>
      <c r="G254" s="1">
        <v>0</v>
      </c>
      <c r="H254" s="1">
        <v>1.6092731618195199E-2</v>
      </c>
      <c r="I254" s="1">
        <v>-4.6668473173016797E-3</v>
      </c>
      <c r="J254" s="1">
        <v>1</v>
      </c>
      <c r="K254" s="1" t="s">
        <v>16</v>
      </c>
      <c r="L254" s="1">
        <v>1</v>
      </c>
      <c r="M254" s="1" t="s">
        <v>17</v>
      </c>
      <c r="N254" s="3" t="s">
        <v>1180</v>
      </c>
      <c r="O254" s="1"/>
    </row>
    <row r="255" spans="1:15" x14ac:dyDescent="0.25">
      <c r="A255" s="2" t="s">
        <v>382</v>
      </c>
      <c r="B255" s="1" t="s">
        <v>312</v>
      </c>
      <c r="C255" s="1" t="s">
        <v>383</v>
      </c>
      <c r="D255" s="1" t="s">
        <v>1821</v>
      </c>
      <c r="E255" s="1" t="str">
        <f>VLOOKUP(Table1[[#This Row],[Navn DK]],product_nodes_new_id!A:B,2,FALSE)</f>
        <v>e0bf2e1a-148c-5d14-a96a-597aefe3fc06</v>
      </c>
      <c r="F255" s="1">
        <v>0.93025052872928604</v>
      </c>
      <c r="G255" s="1">
        <v>0</v>
      </c>
      <c r="H255" s="1">
        <v>1.7601035296446899E-2</v>
      </c>
      <c r="I255" s="1">
        <v>0</v>
      </c>
      <c r="J255" s="1">
        <v>1</v>
      </c>
      <c r="K255" s="1" t="s">
        <v>16</v>
      </c>
      <c r="L255" s="1">
        <v>0.2</v>
      </c>
      <c r="M255" s="1" t="s">
        <v>23</v>
      </c>
      <c r="N255" s="3" t="s">
        <v>1133</v>
      </c>
      <c r="O255" s="1"/>
    </row>
    <row r="256" spans="1:15" x14ac:dyDescent="0.25">
      <c r="A256" s="2" t="s">
        <v>632</v>
      </c>
      <c r="B256" s="1" t="s">
        <v>312</v>
      </c>
      <c r="C256" s="1" t="s">
        <v>633</v>
      </c>
      <c r="D256" s="1" t="s">
        <v>1823</v>
      </c>
      <c r="E256" s="1" t="str">
        <f>VLOOKUP(Table1[[#This Row],[Navn DK]],product_nodes_new_id!A:B,2,FALSE)</f>
        <v>0a758688-df9d-514a-a123-3a393d25dd08</v>
      </c>
      <c r="F256" s="1">
        <v>2.2227890226729299</v>
      </c>
      <c r="G256" s="1">
        <v>0.14402772756132601</v>
      </c>
      <c r="H256" s="1">
        <v>0</v>
      </c>
      <c r="I256" s="1">
        <v>-3.1226034434267101E-2</v>
      </c>
      <c r="J256" s="1">
        <v>1</v>
      </c>
      <c r="K256" s="1" t="s">
        <v>1272</v>
      </c>
      <c r="L256" s="1">
        <v>0.21</v>
      </c>
      <c r="M256" s="1" t="s">
        <v>23</v>
      </c>
      <c r="N256" s="3" t="s">
        <v>634</v>
      </c>
      <c r="O256" s="1"/>
    </row>
    <row r="257" spans="1:15" x14ac:dyDescent="0.25">
      <c r="A257" s="2" t="s">
        <v>638</v>
      </c>
      <c r="B257" s="1" t="s">
        <v>312</v>
      </c>
      <c r="C257" s="1" t="s">
        <v>639</v>
      </c>
      <c r="D257" s="1" t="s">
        <v>1825</v>
      </c>
      <c r="E257" s="1" t="str">
        <f>VLOOKUP(Table1[[#This Row],[Navn DK]],product_nodes_new_id!A:B,2,FALSE)</f>
        <v>86914102-0676-50c4-a5cd-6ca6e9dbcb94</v>
      </c>
      <c r="F257" s="1">
        <v>1.97676905813406</v>
      </c>
      <c r="G257" s="1">
        <v>0.248515274162286</v>
      </c>
      <c r="H257" s="1">
        <v>0</v>
      </c>
      <c r="I257" s="1">
        <v>-5.3902083249627801E-2</v>
      </c>
      <c r="J257" s="1">
        <v>1</v>
      </c>
      <c r="K257" s="1" t="s">
        <v>1272</v>
      </c>
      <c r="L257" s="1">
        <v>0.28999999999999998</v>
      </c>
      <c r="M257" s="1" t="s">
        <v>23</v>
      </c>
      <c r="N257" s="3" t="s">
        <v>1200</v>
      </c>
      <c r="O257" s="1"/>
    </row>
    <row r="258" spans="1:15" x14ac:dyDescent="0.25">
      <c r="A258" s="2" t="s">
        <v>475</v>
      </c>
      <c r="B258" s="1" t="s">
        <v>312</v>
      </c>
      <c r="C258" s="1" t="s">
        <v>476</v>
      </c>
      <c r="D258" s="1" t="s">
        <v>1827</v>
      </c>
      <c r="E258" s="1" t="str">
        <f>VLOOKUP(Table1[[#This Row],[Navn DK]],product_nodes_new_id!A:B,2,FALSE)</f>
        <v>dc2647d6-b69a-5af8-808f-9cf820125c1f</v>
      </c>
      <c r="F258" s="1">
        <v>3.0821664196198899</v>
      </c>
      <c r="G258" s="1">
        <v>0.68584632172059901</v>
      </c>
      <c r="H258" s="1">
        <v>0</v>
      </c>
      <c r="I258" s="1">
        <v>-0.14869540206793899</v>
      </c>
      <c r="J258" s="1">
        <v>1</v>
      </c>
      <c r="K258" s="1" t="s">
        <v>16</v>
      </c>
      <c r="L258" s="1">
        <v>1</v>
      </c>
      <c r="M258" s="1" t="s">
        <v>17</v>
      </c>
      <c r="N258" s="3" t="s">
        <v>477</v>
      </c>
      <c r="O258" s="1"/>
    </row>
    <row r="259" spans="1:15" x14ac:dyDescent="0.25">
      <c r="A259" s="2" t="s">
        <v>377</v>
      </c>
      <c r="B259" s="1" t="s">
        <v>312</v>
      </c>
      <c r="C259" s="1" t="s">
        <v>378</v>
      </c>
      <c r="D259" s="1" t="s">
        <v>1829</v>
      </c>
      <c r="E259" s="1" t="str">
        <f>VLOOKUP(Table1[[#This Row],[Navn DK]],product_nodes_new_id!A:B,2,FALSE)</f>
        <v>ee75909d-215c-5a26-8597-a9c318d460f6</v>
      </c>
      <c r="F259" s="1">
        <v>3.37882123084204</v>
      </c>
      <c r="G259" s="1">
        <v>0.91398352109214998</v>
      </c>
      <c r="H259" s="1">
        <v>0</v>
      </c>
      <c r="I259" s="1">
        <v>-0.198260536090585</v>
      </c>
      <c r="J259" s="1">
        <v>1</v>
      </c>
      <c r="K259" s="1" t="s">
        <v>16</v>
      </c>
      <c r="L259" s="1">
        <v>1</v>
      </c>
      <c r="M259" s="1" t="s">
        <v>17</v>
      </c>
      <c r="N259" s="3" t="s">
        <v>379</v>
      </c>
      <c r="O259" s="1"/>
    </row>
    <row r="260" spans="1:15" x14ac:dyDescent="0.25">
      <c r="A260" s="2" t="s">
        <v>464</v>
      </c>
      <c r="B260" s="1" t="s">
        <v>312</v>
      </c>
      <c r="C260" s="1" t="s">
        <v>465</v>
      </c>
      <c r="D260" s="1" t="s">
        <v>1831</v>
      </c>
      <c r="E260" s="1" t="str">
        <f>VLOOKUP(Table1[[#This Row],[Navn DK]],product_nodes_new_id!A:B,2,FALSE)</f>
        <v>c986fd4a-966f-5b6b-b2d7-9e2c9f0bfc74</v>
      </c>
      <c r="F260" s="1">
        <v>1.9142277082844299</v>
      </c>
      <c r="G260" s="1">
        <v>0.91398352109214998</v>
      </c>
      <c r="H260" s="1">
        <v>0</v>
      </c>
      <c r="I260" s="1">
        <v>-0.198260536090585</v>
      </c>
      <c r="J260" s="1">
        <v>1</v>
      </c>
      <c r="K260" s="1" t="s">
        <v>16</v>
      </c>
      <c r="L260" s="1">
        <v>1</v>
      </c>
      <c r="M260" s="1" t="s">
        <v>17</v>
      </c>
      <c r="N260" s="3" t="s">
        <v>1157</v>
      </c>
      <c r="O260" s="1"/>
    </row>
    <row r="261" spans="1:15" x14ac:dyDescent="0.25">
      <c r="A261" s="2" t="s">
        <v>624</v>
      </c>
      <c r="B261" s="1" t="s">
        <v>312</v>
      </c>
      <c r="C261" s="1" t="s">
        <v>625</v>
      </c>
      <c r="D261" s="1" t="s">
        <v>1833</v>
      </c>
      <c r="E261" s="1" t="str">
        <f>VLOOKUP(Table1[[#This Row],[Navn DK]],product_nodes_new_id!A:B,2,FALSE)</f>
        <v>3ee01594-86b9-5f66-9766-9101aafb155b</v>
      </c>
      <c r="F261" s="1">
        <v>3.7661577182783601</v>
      </c>
      <c r="G261" s="1">
        <v>0.205581729683466</v>
      </c>
      <c r="H261" s="1">
        <v>0</v>
      </c>
      <c r="I261" s="1">
        <v>-4.4608620620381699E-2</v>
      </c>
      <c r="J261" s="1">
        <v>1</v>
      </c>
      <c r="K261" s="1" t="s">
        <v>1272</v>
      </c>
      <c r="L261" s="1">
        <v>0.18</v>
      </c>
      <c r="M261" s="1" t="s">
        <v>23</v>
      </c>
      <c r="N261" s="3" t="s">
        <v>1199</v>
      </c>
      <c r="O261" s="1"/>
    </row>
    <row r="262" spans="1:15" x14ac:dyDescent="0.25">
      <c r="A262" s="2" t="s">
        <v>444</v>
      </c>
      <c r="B262" s="1" t="s">
        <v>312</v>
      </c>
      <c r="C262" s="1" t="s">
        <v>445</v>
      </c>
      <c r="D262" s="1" t="s">
        <v>1835</v>
      </c>
      <c r="E262" s="1" t="str">
        <f>VLOOKUP(Table1[[#This Row],[Navn DK]],product_nodes_new_id!A:B,2,FALSE)</f>
        <v>a6baaece-5a56-5fcc-a1d2-5d272f544d16</v>
      </c>
      <c r="F262" s="1">
        <v>4.5430016741426096</v>
      </c>
      <c r="G262" s="1">
        <v>1.04698018802144</v>
      </c>
      <c r="H262" s="1">
        <v>0</v>
      </c>
      <c r="I262" s="1">
        <v>-0.27013891778167998</v>
      </c>
      <c r="J262" s="1">
        <v>1</v>
      </c>
      <c r="K262" s="1" t="s">
        <v>16</v>
      </c>
      <c r="L262" s="1">
        <v>1</v>
      </c>
      <c r="M262" s="1" t="s">
        <v>17</v>
      </c>
      <c r="N262" s="3" t="s">
        <v>446</v>
      </c>
      <c r="O262" s="1"/>
    </row>
    <row r="263" spans="1:15" x14ac:dyDescent="0.25">
      <c r="A263" s="2" t="s">
        <v>422</v>
      </c>
      <c r="B263" s="1" t="s">
        <v>312</v>
      </c>
      <c r="C263" s="1" t="s">
        <v>423</v>
      </c>
      <c r="D263" s="1" t="s">
        <v>1845</v>
      </c>
      <c r="E263" s="1" t="str">
        <f>VLOOKUP(Table1[[#This Row],[Navn DK]],product_nodes_new_id!A:B,2,FALSE)</f>
        <v>57c39f05-f514-5456-8a1d-f2e572bcba72</v>
      </c>
      <c r="F263" s="1">
        <v>2.5296284420456301</v>
      </c>
      <c r="G263" s="1">
        <v>0.83784752621973202</v>
      </c>
      <c r="H263" s="1">
        <v>0</v>
      </c>
      <c r="I263" s="1">
        <v>-0.21961126971332101</v>
      </c>
      <c r="J263" s="1">
        <v>1</v>
      </c>
      <c r="K263" s="1" t="s">
        <v>16</v>
      </c>
      <c r="L263" s="1">
        <v>1</v>
      </c>
      <c r="M263" s="1" t="s">
        <v>17</v>
      </c>
      <c r="N263" s="3" t="s">
        <v>1144</v>
      </c>
      <c r="O263" s="1"/>
    </row>
    <row r="264" spans="1:15" x14ac:dyDescent="0.25">
      <c r="A264" s="2" t="s">
        <v>462</v>
      </c>
      <c r="B264" s="1" t="s">
        <v>312</v>
      </c>
      <c r="C264" s="1" t="s">
        <v>463</v>
      </c>
      <c r="D264" s="1" t="s">
        <v>1837</v>
      </c>
      <c r="E264" s="1" t="str">
        <f>VLOOKUP(Table1[[#This Row],[Navn DK]],product_nodes_new_id!A:B,2,FALSE)</f>
        <v>20fb4b6d-2ff1-5c7b-b7e4-83091904e9aa</v>
      </c>
      <c r="F264" s="1">
        <v>2.5677333634122101</v>
      </c>
      <c r="G264" s="1">
        <v>0.83784752621973202</v>
      </c>
      <c r="H264" s="1">
        <v>0</v>
      </c>
      <c r="I264" s="1">
        <v>-0.21961126971332101</v>
      </c>
      <c r="J264" s="1">
        <v>1</v>
      </c>
      <c r="K264" s="1" t="s">
        <v>16</v>
      </c>
      <c r="L264" s="1">
        <v>1</v>
      </c>
      <c r="M264" s="1" t="s">
        <v>17</v>
      </c>
      <c r="N264" s="3" t="s">
        <v>1156</v>
      </c>
      <c r="O264" s="1"/>
    </row>
    <row r="265" spans="1:15" x14ac:dyDescent="0.25">
      <c r="A265" s="2" t="s">
        <v>338</v>
      </c>
      <c r="B265" s="1" t="s">
        <v>312</v>
      </c>
      <c r="C265" s="1" t="s">
        <v>339</v>
      </c>
      <c r="D265" s="1" t="s">
        <v>1847</v>
      </c>
      <c r="E265" s="1" t="str">
        <f>VLOOKUP(Table1[[#This Row],[Navn DK]],product_nodes_new_id!A:B,2,FALSE)</f>
        <v>b7811c8f-7f85-5d98-a127-1c2c8b2c7272</v>
      </c>
      <c r="F265" s="1">
        <v>1.8930359501590199</v>
      </c>
      <c r="G265" s="1">
        <v>0.78556436076930503</v>
      </c>
      <c r="H265" s="1">
        <v>0</v>
      </c>
      <c r="I265" s="1">
        <v>-0.20505428317784399</v>
      </c>
      <c r="J265" s="1">
        <v>1</v>
      </c>
      <c r="K265" s="1" t="s">
        <v>16</v>
      </c>
      <c r="L265" s="1">
        <v>1</v>
      </c>
      <c r="M265" s="1" t="s">
        <v>17</v>
      </c>
      <c r="N265" s="3" t="s">
        <v>340</v>
      </c>
      <c r="O265" s="1"/>
    </row>
    <row r="266" spans="1:15" x14ac:dyDescent="0.25">
      <c r="A266" s="2" t="s">
        <v>536</v>
      </c>
      <c r="B266" s="1" t="s">
        <v>312</v>
      </c>
      <c r="C266" s="1" t="s">
        <v>537</v>
      </c>
      <c r="D266" s="1" t="s">
        <v>1839</v>
      </c>
      <c r="E266" s="1" t="str">
        <f>VLOOKUP(Table1[[#This Row],[Navn DK]],product_nodes_new_id!A:B,2,FALSE)</f>
        <v>bdf3fca1-4305-5ece-addb-9b3037863c02</v>
      </c>
      <c r="F266" s="1">
        <v>1.9083314321377201</v>
      </c>
      <c r="G266" s="1">
        <v>0.85694922124926298</v>
      </c>
      <c r="H266" s="1">
        <v>0</v>
      </c>
      <c r="I266" s="1">
        <v>-0.18586925258492301</v>
      </c>
      <c r="J266" s="1">
        <v>1</v>
      </c>
      <c r="K266" s="1" t="s">
        <v>16</v>
      </c>
      <c r="L266" s="1">
        <v>1</v>
      </c>
      <c r="M266" s="1" t="s">
        <v>17</v>
      </c>
      <c r="N266" s="3" t="s">
        <v>538</v>
      </c>
      <c r="O266" s="1"/>
    </row>
    <row r="267" spans="1:15" x14ac:dyDescent="0.25">
      <c r="A267" s="2" t="s">
        <v>416</v>
      </c>
      <c r="B267" s="1" t="s">
        <v>312</v>
      </c>
      <c r="C267" s="1" t="s">
        <v>417</v>
      </c>
      <c r="D267" s="1" t="s">
        <v>1841</v>
      </c>
      <c r="E267" s="1" t="str">
        <f>VLOOKUP(Table1[[#This Row],[Navn DK]],product_nodes_new_id!A:B,2,FALSE)</f>
        <v>376efc98-123a-501e-9f0e-b949bcbfe106</v>
      </c>
      <c r="F267" s="1">
        <v>1.8930359501590199</v>
      </c>
      <c r="G267" s="1">
        <v>0.78556436076930503</v>
      </c>
      <c r="H267" s="1">
        <v>0</v>
      </c>
      <c r="I267" s="1">
        <v>-0.20505428317784399</v>
      </c>
      <c r="J267" s="1">
        <v>1</v>
      </c>
      <c r="K267" s="1" t="s">
        <v>16</v>
      </c>
      <c r="L267" s="1">
        <v>1</v>
      </c>
      <c r="M267" s="1" t="s">
        <v>17</v>
      </c>
      <c r="N267" s="3" t="s">
        <v>418</v>
      </c>
      <c r="O267" s="1"/>
    </row>
    <row r="268" spans="1:15" x14ac:dyDescent="0.25">
      <c r="A268" s="2" t="s">
        <v>545</v>
      </c>
      <c r="B268" s="1" t="s">
        <v>312</v>
      </c>
      <c r="C268" s="1" t="s">
        <v>546</v>
      </c>
      <c r="D268" s="1" t="s">
        <v>1843</v>
      </c>
      <c r="E268" s="1" t="str">
        <f>VLOOKUP(Table1[[#This Row],[Navn DK]],product_nodes_new_id!A:B,2,FALSE)</f>
        <v>4b4594f7-86b9-5dfa-be9b-cf1bca614d9e</v>
      </c>
      <c r="F268" s="1">
        <v>1.9571546883344699</v>
      </c>
      <c r="G268" s="1">
        <v>0.78556436076930503</v>
      </c>
      <c r="H268" s="1">
        <v>0</v>
      </c>
      <c r="I268" s="1">
        <v>-0.20517095436077601</v>
      </c>
      <c r="J268" s="1">
        <v>1</v>
      </c>
      <c r="K268" s="1" t="s">
        <v>16</v>
      </c>
      <c r="L268" s="1">
        <v>1</v>
      </c>
      <c r="M268" s="1" t="s">
        <v>17</v>
      </c>
      <c r="N268" s="3" t="s">
        <v>547</v>
      </c>
      <c r="O268" s="1"/>
    </row>
    <row r="269" spans="1:15" x14ac:dyDescent="0.25">
      <c r="A269" s="2" t="s">
        <v>141</v>
      </c>
      <c r="B269" s="1" t="s">
        <v>126</v>
      </c>
      <c r="C269" s="1" t="s">
        <v>21</v>
      </c>
      <c r="D269" s="1" t="s">
        <v>142</v>
      </c>
      <c r="E269" s="1" t="e">
        <f>VLOOKUP(Table1[[#This Row],[Navn DK]],product_nodes_new_id!A:B,2,FALSE)</f>
        <v>#N/A</v>
      </c>
      <c r="F269" s="1">
        <v>-1.1909700000000001</v>
      </c>
      <c r="G269" s="1">
        <v>1.7820000000000003</v>
      </c>
      <c r="H269" s="1">
        <v>0</v>
      </c>
      <c r="I269" s="1">
        <v>-0.42749999999999999</v>
      </c>
      <c r="J269" s="1">
        <v>1</v>
      </c>
      <c r="K269" s="1" t="s">
        <v>16</v>
      </c>
      <c r="L269" s="1">
        <v>43.75</v>
      </c>
      <c r="M269" s="1" t="s">
        <v>65</v>
      </c>
      <c r="N269" s="3" t="s">
        <v>128</v>
      </c>
      <c r="O269" s="1"/>
    </row>
    <row r="270" spans="1:15" x14ac:dyDescent="0.25">
      <c r="A270" s="2" t="s">
        <v>859</v>
      </c>
      <c r="B270" s="1" t="s">
        <v>312</v>
      </c>
      <c r="C270" s="1" t="s">
        <v>860</v>
      </c>
      <c r="D270" s="1" t="s">
        <v>1865</v>
      </c>
      <c r="E270" s="1" t="str">
        <f>VLOOKUP(Table1[[#This Row],[Navn DK]],product_nodes_new_id!A:B,2,FALSE)</f>
        <v>f83b9fdd-ec72-5882-9bcc-b766cf9914d6</v>
      </c>
      <c r="F270" s="1">
        <v>-1.17357533435774</v>
      </c>
      <c r="G270" s="1">
        <v>148.031473589413</v>
      </c>
      <c r="H270" s="1">
        <v>0</v>
      </c>
      <c r="I270" s="1">
        <v>-30.769328030528001</v>
      </c>
      <c r="J270" s="1">
        <v>1</v>
      </c>
      <c r="K270" s="1" t="s">
        <v>1274</v>
      </c>
      <c r="L270" s="1">
        <v>80</v>
      </c>
      <c r="M270" s="1" t="s">
        <v>65</v>
      </c>
      <c r="N270" s="3" t="s">
        <v>1240</v>
      </c>
      <c r="O270" s="1"/>
    </row>
    <row r="271" spans="1:15" x14ac:dyDescent="0.25">
      <c r="A271" s="2" t="s">
        <v>595</v>
      </c>
      <c r="B271" s="1" t="s">
        <v>312</v>
      </c>
      <c r="C271" s="1" t="s">
        <v>596</v>
      </c>
      <c r="D271" s="1" t="s">
        <v>1869</v>
      </c>
      <c r="E271" s="1" t="str">
        <f>VLOOKUP(Table1[[#This Row],[Navn DK]],product_nodes_new_id!A:B,2,FALSE)</f>
        <v>e0115a84-0aa1-5de0-8c64-4a9ed0c9c2cb</v>
      </c>
      <c r="F271" s="1">
        <v>-3.86</v>
      </c>
      <c r="G271" s="1">
        <v>11.88</v>
      </c>
      <c r="H271" s="1">
        <v>0</v>
      </c>
      <c r="I271" s="1">
        <v>-3.3330000000000002</v>
      </c>
      <c r="J271" s="1">
        <v>1</v>
      </c>
      <c r="K271" s="1" t="s">
        <v>1272</v>
      </c>
      <c r="L271" s="1">
        <v>6.5</v>
      </c>
      <c r="M271" s="1" t="s">
        <v>23</v>
      </c>
      <c r="N271" s="15" t="s">
        <v>597</v>
      </c>
      <c r="O271" s="1"/>
    </row>
    <row r="272" spans="1:15" x14ac:dyDescent="0.25">
      <c r="A272" s="2" t="s">
        <v>996</v>
      </c>
      <c r="B272" s="1" t="s">
        <v>312</v>
      </c>
      <c r="C272" s="1" t="s">
        <v>997</v>
      </c>
      <c r="D272" s="1" t="s">
        <v>1871</v>
      </c>
      <c r="E272" s="1" t="str">
        <f>VLOOKUP(Table1[[#This Row],[Navn DK]],product_nodes_new_id!A:B,2,FALSE)</f>
        <v>6b418a2f-f897-5794-a6d0-40b827e0fcb4</v>
      </c>
      <c r="F272" s="1">
        <v>1146.8881409606199</v>
      </c>
      <c r="G272" s="1">
        <v>0</v>
      </c>
      <c r="H272" s="1">
        <v>3.5270160835328301</v>
      </c>
      <c r="I272" s="1">
        <v>-343.029346505668</v>
      </c>
      <c r="J272" s="1">
        <v>1</v>
      </c>
      <c r="K272" s="1" t="s">
        <v>119</v>
      </c>
      <c r="L272" s="1">
        <v>335</v>
      </c>
      <c r="M272" s="1" t="s">
        <v>120</v>
      </c>
      <c r="N272" s="3" t="s">
        <v>1250</v>
      </c>
      <c r="O272" s="1"/>
    </row>
    <row r="273" spans="1:15" x14ac:dyDescent="0.25">
      <c r="A273" s="2" t="s">
        <v>491</v>
      </c>
      <c r="B273" s="1" t="s">
        <v>312</v>
      </c>
      <c r="C273" s="1" t="s">
        <v>492</v>
      </c>
      <c r="D273" s="1" t="s">
        <v>1873</v>
      </c>
      <c r="E273" s="1" t="str">
        <f>VLOOKUP(Table1[[#This Row],[Navn DK]],product_nodes_new_id!A:B,2,FALSE)</f>
        <v>8fb7c9dc-dbf7-5f56-bd6e-869783a65b4b</v>
      </c>
      <c r="F273" s="1">
        <v>4.1333606991589902E-2</v>
      </c>
      <c r="G273" s="1">
        <v>0</v>
      </c>
      <c r="H273" s="1">
        <v>0</v>
      </c>
      <c r="I273" s="1">
        <v>0</v>
      </c>
      <c r="J273" s="1">
        <v>1</v>
      </c>
      <c r="K273" s="1" t="s">
        <v>16</v>
      </c>
      <c r="L273" s="1">
        <v>1</v>
      </c>
      <c r="M273" s="1" t="s">
        <v>17</v>
      </c>
      <c r="N273" s="3" t="s">
        <v>1166</v>
      </c>
      <c r="O273" s="1"/>
    </row>
    <row r="274" spans="1:15" x14ac:dyDescent="0.25">
      <c r="A274" s="2" t="s">
        <v>404</v>
      </c>
      <c r="B274" s="1" t="s">
        <v>312</v>
      </c>
      <c r="C274" s="1" t="s">
        <v>405</v>
      </c>
      <c r="D274" s="1" t="s">
        <v>1875</v>
      </c>
      <c r="E274" s="1" t="str">
        <f>VLOOKUP(Table1[[#This Row],[Navn DK]],product_nodes_new_id!A:B,2,FALSE)</f>
        <v>65ef3859-ef4c-560a-bf43-625fd365305b</v>
      </c>
      <c r="F274" s="1">
        <v>0.565071465503026</v>
      </c>
      <c r="G274" s="1">
        <v>0</v>
      </c>
      <c r="H274" s="1">
        <v>0</v>
      </c>
      <c r="I274" s="1">
        <v>0</v>
      </c>
      <c r="J274" s="1">
        <v>1</v>
      </c>
      <c r="K274" s="1" t="s">
        <v>16</v>
      </c>
      <c r="L274" s="1">
        <v>1</v>
      </c>
      <c r="M274" s="1" t="s">
        <v>17</v>
      </c>
      <c r="N274" s="3" t="s">
        <v>1141</v>
      </c>
      <c r="O274" s="1"/>
    </row>
    <row r="275" spans="1:15" x14ac:dyDescent="0.25">
      <c r="A275" s="2" t="s">
        <v>270</v>
      </c>
      <c r="B275" s="1" t="s">
        <v>126</v>
      </c>
      <c r="C275" s="1" t="s">
        <v>21</v>
      </c>
      <c r="D275" s="1" t="s">
        <v>271</v>
      </c>
      <c r="E275" s="1" t="e">
        <f>VLOOKUP(Table1[[#This Row],[Navn DK]],product_nodes_new_id!A:B,2,FALSE)</f>
        <v>#N/A</v>
      </c>
      <c r="F275" s="1">
        <v>22.990000000000002</v>
      </c>
      <c r="G275" s="1">
        <v>0.6633</v>
      </c>
      <c r="H275" s="1">
        <v>0</v>
      </c>
      <c r="I275" s="1">
        <v>-7.0740000000000007</v>
      </c>
      <c r="J275" s="1">
        <v>1</v>
      </c>
      <c r="K275" s="1" t="s">
        <v>1274</v>
      </c>
      <c r="L275" s="1">
        <v>85</v>
      </c>
      <c r="M275" s="1" t="s">
        <v>65</v>
      </c>
      <c r="N275" s="3" t="s">
        <v>128</v>
      </c>
      <c r="O275" s="1"/>
    </row>
    <row r="276" spans="1:15" x14ac:dyDescent="0.25">
      <c r="A276" s="2" t="s">
        <v>155</v>
      </c>
      <c r="B276" s="1" t="s">
        <v>126</v>
      </c>
      <c r="C276" s="1" t="s">
        <v>21</v>
      </c>
      <c r="D276" s="1" t="s">
        <v>156</v>
      </c>
      <c r="E276" s="1" t="e">
        <f>VLOOKUP(Table1[[#This Row],[Navn DK]],product_nodes_new_id!A:B,2,FALSE)</f>
        <v>#N/A</v>
      </c>
      <c r="F276" s="1">
        <v>0.60409800000000002</v>
      </c>
      <c r="G276" s="1">
        <v>0.53816400000000009</v>
      </c>
      <c r="H276" s="1">
        <v>3.51054E-4</v>
      </c>
      <c r="I276" s="1">
        <v>-2.5660800000000001E-2</v>
      </c>
      <c r="J276" s="1">
        <v>1</v>
      </c>
      <c r="K276" s="1" t="s">
        <v>157</v>
      </c>
      <c r="L276" s="1">
        <v>0.16200000000000001</v>
      </c>
      <c r="M276" s="1" t="s">
        <v>152</v>
      </c>
      <c r="N276" s="3" t="s">
        <v>128</v>
      </c>
      <c r="O276" s="1"/>
    </row>
    <row r="277" spans="1:15" x14ac:dyDescent="0.25">
      <c r="A277" s="2" t="s">
        <v>158</v>
      </c>
      <c r="B277" s="1" t="s">
        <v>126</v>
      </c>
      <c r="C277" s="1" t="s">
        <v>21</v>
      </c>
      <c r="D277" s="1" t="s">
        <v>159</v>
      </c>
      <c r="E277" s="1" t="e">
        <f>VLOOKUP(Table1[[#This Row],[Navn DK]],product_nodes_new_id!A:B,2,FALSE)</f>
        <v>#N/A</v>
      </c>
      <c r="F277" s="1">
        <v>0.74580000000000013</v>
      </c>
      <c r="G277" s="1">
        <v>0.6644000000000001</v>
      </c>
      <c r="H277" s="1">
        <v>4.3340000000000007E-4</v>
      </c>
      <c r="I277" s="1">
        <v>-3.168E-2</v>
      </c>
      <c r="J277" s="1">
        <v>1</v>
      </c>
      <c r="K277" s="1" t="s">
        <v>160</v>
      </c>
      <c r="L277" s="1">
        <v>0.2</v>
      </c>
      <c r="M277" s="1" t="s">
        <v>152</v>
      </c>
      <c r="N277" s="3" t="s">
        <v>128</v>
      </c>
      <c r="O277" s="1"/>
    </row>
    <row r="278" spans="1:15" x14ac:dyDescent="0.25">
      <c r="A278" s="2" t="s">
        <v>164</v>
      </c>
      <c r="B278" s="1" t="s">
        <v>126</v>
      </c>
      <c r="C278" s="1" t="s">
        <v>21</v>
      </c>
      <c r="D278" s="1" t="s">
        <v>165</v>
      </c>
      <c r="E278" s="1" t="e">
        <f>VLOOKUP(Table1[[#This Row],[Navn DK]],product_nodes_new_id!A:B,2,FALSE)</f>
        <v>#N/A</v>
      </c>
      <c r="F278" s="1">
        <v>0.77563199999999999</v>
      </c>
      <c r="G278" s="1">
        <v>0.69097600000000003</v>
      </c>
      <c r="H278" s="1">
        <v>4.5073599999999998E-4</v>
      </c>
      <c r="I278" s="1">
        <v>-3.2947199999999996E-2</v>
      </c>
      <c r="J278" s="1">
        <v>1</v>
      </c>
      <c r="K278" s="1" t="s">
        <v>166</v>
      </c>
      <c r="L278" s="1">
        <v>0.20799999999999999</v>
      </c>
      <c r="M278" s="1" t="s">
        <v>152</v>
      </c>
      <c r="N278" s="3" t="s">
        <v>128</v>
      </c>
      <c r="O278" s="1"/>
    </row>
    <row r="279" spans="1:15" x14ac:dyDescent="0.25">
      <c r="A279" s="2" t="s">
        <v>170</v>
      </c>
      <c r="B279" s="1" t="s">
        <v>126</v>
      </c>
      <c r="C279" s="1" t="s">
        <v>21</v>
      </c>
      <c r="D279" s="1" t="s">
        <v>171</v>
      </c>
      <c r="E279" s="1" t="e">
        <f>VLOOKUP(Table1[[#This Row],[Navn DK]],product_nodes_new_id!A:B,2,FALSE)</f>
        <v>#N/A</v>
      </c>
      <c r="F279" s="1">
        <v>1.1187</v>
      </c>
      <c r="G279" s="1">
        <v>0.99660000000000004</v>
      </c>
      <c r="H279" s="1">
        <v>6.5010000000000003E-4</v>
      </c>
      <c r="I279" s="1">
        <v>-4.7519999999999993E-2</v>
      </c>
      <c r="J279" s="1">
        <v>1</v>
      </c>
      <c r="K279" s="1" t="s">
        <v>172</v>
      </c>
      <c r="L279" s="1">
        <v>0.3</v>
      </c>
      <c r="M279" s="1" t="s">
        <v>152</v>
      </c>
      <c r="N279" s="3" t="s">
        <v>128</v>
      </c>
      <c r="O279" s="1"/>
    </row>
    <row r="280" spans="1:15" x14ac:dyDescent="0.25">
      <c r="A280" s="2" t="s">
        <v>161</v>
      </c>
      <c r="B280" s="1" t="s">
        <v>126</v>
      </c>
      <c r="C280" s="1" t="s">
        <v>21</v>
      </c>
      <c r="D280" s="1" t="s">
        <v>162</v>
      </c>
      <c r="E280" s="1" t="e">
        <f>VLOOKUP(Table1[[#This Row],[Navn DK]],product_nodes_new_id!A:B,2,FALSE)</f>
        <v>#N/A</v>
      </c>
      <c r="F280" s="1">
        <v>0.34171499999999999</v>
      </c>
      <c r="G280" s="1">
        <v>0.36209800000000009</v>
      </c>
      <c r="H280" s="1">
        <v>2.35004E-4</v>
      </c>
      <c r="I280" s="1">
        <v>-1.7265599999999999E-2</v>
      </c>
      <c r="J280" s="1">
        <v>1</v>
      </c>
      <c r="K280" s="1" t="s">
        <v>163</v>
      </c>
      <c r="L280" s="1">
        <v>0.109</v>
      </c>
      <c r="M280" s="1" t="s">
        <v>152</v>
      </c>
      <c r="N280" s="3" t="s">
        <v>128</v>
      </c>
      <c r="O280" s="1"/>
    </row>
    <row r="281" spans="1:15" x14ac:dyDescent="0.25">
      <c r="A281" s="2" t="s">
        <v>167</v>
      </c>
      <c r="B281" s="1" t="s">
        <v>126</v>
      </c>
      <c r="C281" s="1" t="s">
        <v>21</v>
      </c>
      <c r="D281" s="1" t="s">
        <v>168</v>
      </c>
      <c r="E281" s="1" t="e">
        <f>VLOOKUP(Table1[[#This Row],[Navn DK]],product_nodes_new_id!A:B,2,FALSE)</f>
        <v>#N/A</v>
      </c>
      <c r="F281" s="1">
        <v>0.41382000000000008</v>
      </c>
      <c r="G281" s="1">
        <v>0.438504</v>
      </c>
      <c r="H281" s="1">
        <v>2.8459200000000002E-4</v>
      </c>
      <c r="I281" s="1">
        <v>-2.0908799999999998E-2</v>
      </c>
      <c r="J281" s="1">
        <v>1</v>
      </c>
      <c r="K281" s="1" t="s">
        <v>169</v>
      </c>
      <c r="L281" s="1">
        <v>0.13200000000000001</v>
      </c>
      <c r="M281" s="1" t="s">
        <v>152</v>
      </c>
      <c r="N281" s="3" t="s">
        <v>128</v>
      </c>
      <c r="O281" s="1"/>
    </row>
    <row r="282" spans="1:15" x14ac:dyDescent="0.25">
      <c r="A282" s="2" t="s">
        <v>1032</v>
      </c>
      <c r="B282" s="1" t="s">
        <v>312</v>
      </c>
      <c r="C282" s="1" t="s">
        <v>1033</v>
      </c>
      <c r="D282" s="1" t="s">
        <v>1879</v>
      </c>
      <c r="E282" s="1" t="str">
        <f>VLOOKUP(Table1[[#This Row],[Navn DK]],product_nodes_new_id!A:B,2,FALSE)</f>
        <v>245ed544-564a-550f-af0d-0d150ac8cace</v>
      </c>
      <c r="F282" s="1">
        <v>2320.6480660780198</v>
      </c>
      <c r="G282" s="1">
        <v>0</v>
      </c>
      <c r="H282" s="1">
        <v>5.6562406049487297</v>
      </c>
      <c r="I282" s="1">
        <v>-856.04240933176402</v>
      </c>
      <c r="J282" s="1">
        <v>1</v>
      </c>
      <c r="K282" s="1" t="s">
        <v>119</v>
      </c>
      <c r="L282" s="1">
        <v>833</v>
      </c>
      <c r="M282" s="1" t="s">
        <v>120</v>
      </c>
      <c r="N282" s="3" t="s">
        <v>1253</v>
      </c>
      <c r="O282" s="1"/>
    </row>
    <row r="283" spans="1:15" x14ac:dyDescent="0.25">
      <c r="A283" s="2" t="s">
        <v>871</v>
      </c>
      <c r="B283" s="1" t="s">
        <v>312</v>
      </c>
      <c r="C283" s="1" t="s">
        <v>872</v>
      </c>
      <c r="D283" s="1" t="s">
        <v>1881</v>
      </c>
      <c r="E283" s="1" t="str">
        <f>VLOOKUP(Table1[[#This Row],[Navn DK]],product_nodes_new_id!A:B,2,FALSE)</f>
        <v>8db9f188-2b6d-52b9-b1ac-42e4500c264e</v>
      </c>
      <c r="F283" s="1">
        <v>81.403353161811694</v>
      </c>
      <c r="G283" s="1">
        <v>6.6527682303328604</v>
      </c>
      <c r="H283" s="1">
        <v>0</v>
      </c>
      <c r="I283" s="1">
        <v>-1.2989078125601501</v>
      </c>
      <c r="J283" s="1">
        <v>1</v>
      </c>
      <c r="K283" s="1" t="s">
        <v>1274</v>
      </c>
      <c r="L283" s="1">
        <v>900</v>
      </c>
      <c r="M283" s="1" t="s">
        <v>65</v>
      </c>
      <c r="N283" s="3" t="s">
        <v>1243</v>
      </c>
      <c r="O283" s="1"/>
    </row>
    <row r="284" spans="1:15" x14ac:dyDescent="0.25">
      <c r="A284" s="2" t="s">
        <v>493</v>
      </c>
      <c r="B284" s="1" t="s">
        <v>312</v>
      </c>
      <c r="C284" s="1" t="s">
        <v>494</v>
      </c>
      <c r="D284" s="1" t="s">
        <v>1883</v>
      </c>
      <c r="E284" s="1" t="str">
        <f>VLOOKUP(Table1[[#This Row],[Navn DK]],product_nodes_new_id!A:B,2,FALSE)</f>
        <v>a3bb4942-84ba-5fe7-8e93-02a79f70c293</v>
      </c>
      <c r="F284" s="1">
        <v>9.6865686742570196E-3</v>
      </c>
      <c r="G284" s="1">
        <v>0</v>
      </c>
      <c r="H284" s="1">
        <v>0</v>
      </c>
      <c r="I284" s="1">
        <v>0</v>
      </c>
      <c r="J284" s="1">
        <v>1</v>
      </c>
      <c r="K284" s="1" t="s">
        <v>16</v>
      </c>
      <c r="L284" s="1">
        <v>800</v>
      </c>
      <c r="M284" s="1" t="s">
        <v>65</v>
      </c>
      <c r="N284" s="3" t="s">
        <v>1167</v>
      </c>
      <c r="O284" s="1"/>
    </row>
    <row r="285" spans="1:15" x14ac:dyDescent="0.25">
      <c r="A285" s="2" t="s">
        <v>1058</v>
      </c>
      <c r="B285" s="1" t="s">
        <v>312</v>
      </c>
      <c r="C285" s="1" t="s">
        <v>1059</v>
      </c>
      <c r="D285" s="1" t="s">
        <v>1885</v>
      </c>
      <c r="E285" s="1" t="str">
        <f>VLOOKUP(Table1[[#This Row],[Navn DK]],product_nodes_new_id!A:B,2,FALSE)</f>
        <v>9432b03a-d56d-5317-9246-613dab728b5e</v>
      </c>
      <c r="F285" s="1">
        <v>9.7094732776631699E-3</v>
      </c>
      <c r="G285" s="1">
        <v>0</v>
      </c>
      <c r="H285" s="1">
        <v>0</v>
      </c>
      <c r="I285" s="1">
        <v>0</v>
      </c>
      <c r="J285" s="1">
        <v>1</v>
      </c>
      <c r="K285" s="1" t="s">
        <v>16</v>
      </c>
      <c r="L285" s="1">
        <v>1</v>
      </c>
      <c r="M285" s="1" t="s">
        <v>17</v>
      </c>
      <c r="N285" s="3" t="s">
        <v>1060</v>
      </c>
      <c r="O285" s="1"/>
    </row>
    <row r="286" spans="1:15" x14ac:dyDescent="0.25">
      <c r="A286" s="2" t="s">
        <v>228</v>
      </c>
      <c r="B286" s="1" t="s">
        <v>126</v>
      </c>
      <c r="C286" s="1" t="s">
        <v>21</v>
      </c>
      <c r="D286" s="1" t="s">
        <v>229</v>
      </c>
      <c r="E286" s="1" t="e">
        <f>VLOOKUP(Table1[[#This Row],[Navn DK]],product_nodes_new_id!A:B,2,FALSE)</f>
        <v>#N/A</v>
      </c>
      <c r="F286" s="1">
        <v>2.1816666666666671</v>
      </c>
      <c r="G286" s="1">
        <v>1.6477083333333336</v>
      </c>
      <c r="H286" s="1">
        <v>0</v>
      </c>
      <c r="I286" s="1">
        <v>-0.5300917431192661</v>
      </c>
      <c r="J286" s="1">
        <v>1</v>
      </c>
      <c r="K286" s="1" t="s">
        <v>1273</v>
      </c>
      <c r="L286" s="1">
        <v>30</v>
      </c>
      <c r="M286" s="1" t="s">
        <v>65</v>
      </c>
      <c r="N286" s="3" t="s">
        <v>128</v>
      </c>
      <c r="O286" s="1"/>
    </row>
    <row r="287" spans="1:15" x14ac:dyDescent="0.25">
      <c r="A287" s="2" t="s">
        <v>821</v>
      </c>
      <c r="B287" s="1" t="s">
        <v>312</v>
      </c>
      <c r="C287" s="1" t="s">
        <v>822</v>
      </c>
      <c r="D287" s="1" t="s">
        <v>1849</v>
      </c>
      <c r="E287" s="1" t="str">
        <f>VLOOKUP(Table1[[#This Row],[Navn DK]],product_nodes_new_id!A:B,2,FALSE)</f>
        <v>bae9226f-4485-5cff-90cf-8940a046b862</v>
      </c>
      <c r="F287" s="1">
        <v>99.151421734824794</v>
      </c>
      <c r="G287" s="1">
        <v>77.697080234908199</v>
      </c>
      <c r="H287" s="1">
        <v>0</v>
      </c>
      <c r="I287" s="1">
        <v>-25.041407330824299</v>
      </c>
      <c r="J287" s="1">
        <v>1</v>
      </c>
      <c r="K287" s="1" t="s">
        <v>1274</v>
      </c>
      <c r="L287" s="1">
        <v>250</v>
      </c>
      <c r="M287" s="1" t="s">
        <v>65</v>
      </c>
      <c r="N287" s="3" t="s">
        <v>823</v>
      </c>
      <c r="O287" s="1"/>
    </row>
    <row r="288" spans="1:15" x14ac:dyDescent="0.25">
      <c r="A288" s="2" t="s">
        <v>373</v>
      </c>
      <c r="B288" s="1" t="s">
        <v>312</v>
      </c>
      <c r="C288" s="1" t="s">
        <v>374</v>
      </c>
      <c r="D288" s="1" t="s">
        <v>1887</v>
      </c>
      <c r="E288" s="1" t="str">
        <f>VLOOKUP(Table1[[#This Row],[Navn DK]],product_nodes_new_id!A:B,2,FALSE)</f>
        <v>03672b65-e3ff-54ce-afff-55a6c46f9c0c</v>
      </c>
      <c r="F288" s="1">
        <v>5.8643813117150003</v>
      </c>
      <c r="G288" s="1">
        <v>3.5668544154498298</v>
      </c>
      <c r="H288" s="1">
        <v>0</v>
      </c>
      <c r="I288" s="1">
        <v>-0.88896202247642997</v>
      </c>
      <c r="J288" s="1">
        <v>1</v>
      </c>
      <c r="K288" s="1" t="s">
        <v>16</v>
      </c>
      <c r="L288" s="1">
        <v>1</v>
      </c>
      <c r="M288" s="1" t="s">
        <v>17</v>
      </c>
      <c r="N288" s="3" t="s">
        <v>1130</v>
      </c>
      <c r="O288" s="1"/>
    </row>
    <row r="289" spans="1:15" x14ac:dyDescent="0.25">
      <c r="A289" s="2" t="s">
        <v>531</v>
      </c>
      <c r="B289" s="1" t="s">
        <v>312</v>
      </c>
      <c r="C289" s="1" t="s">
        <v>532</v>
      </c>
      <c r="D289" s="1" t="s">
        <v>1889</v>
      </c>
      <c r="E289" s="1" t="str">
        <f>VLOOKUP(Table1[[#This Row],[Navn DK]],product_nodes_new_id!A:B,2,FALSE)</f>
        <v>cd51e6e2-d95c-5212-a8ae-0ff2c6e65a79</v>
      </c>
      <c r="F289" s="1">
        <v>4.1290229734925399</v>
      </c>
      <c r="G289" s="1">
        <v>3.1366605142171502</v>
      </c>
      <c r="H289" s="1">
        <v>0</v>
      </c>
      <c r="I289" s="1">
        <v>-1.30080934124409</v>
      </c>
      <c r="J289" s="1">
        <v>1</v>
      </c>
      <c r="K289" s="1" t="s">
        <v>16</v>
      </c>
      <c r="L289" s="1">
        <v>400</v>
      </c>
      <c r="M289" s="1" t="s">
        <v>65</v>
      </c>
      <c r="N289" s="3" t="s">
        <v>1184</v>
      </c>
      <c r="O289" s="1"/>
    </row>
    <row r="290" spans="1:15" x14ac:dyDescent="0.25">
      <c r="A290" s="2" t="s">
        <v>789</v>
      </c>
      <c r="B290" s="1" t="s">
        <v>312</v>
      </c>
      <c r="C290" s="1" t="s">
        <v>790</v>
      </c>
      <c r="D290" s="1" t="s">
        <v>1891</v>
      </c>
      <c r="E290" s="1" t="str">
        <f>VLOOKUP(Table1[[#This Row],[Navn DK]],product_nodes_new_id!A:B,2,FALSE)</f>
        <v>8f12a3c9-63b2-58ff-ada2-b2614ade546d</v>
      </c>
      <c r="F290" s="1">
        <v>5647.7243753965204</v>
      </c>
      <c r="G290" s="1">
        <v>3658.5618981544899</v>
      </c>
      <c r="H290" s="1">
        <v>0</v>
      </c>
      <c r="I290" s="1">
        <v>-1145.1298987482701</v>
      </c>
      <c r="J290" s="1">
        <v>1</v>
      </c>
      <c r="K290" s="1" t="s">
        <v>1274</v>
      </c>
      <c r="L290" s="1">
        <v>1200</v>
      </c>
      <c r="M290" s="1" t="s">
        <v>65</v>
      </c>
      <c r="N290" s="3" t="s">
        <v>1223</v>
      </c>
      <c r="O290" s="1"/>
    </row>
    <row r="291" spans="1:15" x14ac:dyDescent="0.25">
      <c r="A291" s="2" t="s">
        <v>782</v>
      </c>
      <c r="B291" s="1" t="s">
        <v>312</v>
      </c>
      <c r="C291" s="1" t="s">
        <v>783</v>
      </c>
      <c r="D291" s="1" t="s">
        <v>1893</v>
      </c>
      <c r="E291" s="1" t="str">
        <f>VLOOKUP(Table1[[#This Row],[Navn DK]],product_nodes_new_id!A:B,2,FALSE)</f>
        <v>f5109d46-f48d-56d6-bbca-f682b7a33e3e</v>
      </c>
      <c r="F291" s="1">
        <v>5491.9951491254797</v>
      </c>
      <c r="G291" s="1">
        <v>2886.9750091073602</v>
      </c>
      <c r="H291" s="1">
        <v>0</v>
      </c>
      <c r="I291" s="1">
        <v>-953.71782058391</v>
      </c>
      <c r="J291" s="1">
        <v>1</v>
      </c>
      <c r="K291" s="1" t="s">
        <v>1274</v>
      </c>
      <c r="L291" s="1">
        <v>1190</v>
      </c>
      <c r="M291" s="1" t="s">
        <v>65</v>
      </c>
      <c r="N291" s="3" t="s">
        <v>1221</v>
      </c>
      <c r="O291" s="1"/>
    </row>
    <row r="292" spans="1:15" x14ac:dyDescent="0.25">
      <c r="A292" s="2" t="s">
        <v>780</v>
      </c>
      <c r="B292" s="1" t="s">
        <v>312</v>
      </c>
      <c r="C292" s="1" t="s">
        <v>781</v>
      </c>
      <c r="D292" s="1" t="s">
        <v>1895</v>
      </c>
      <c r="E292" s="1" t="str">
        <f>VLOOKUP(Table1[[#This Row],[Navn DK]],product_nodes_new_id!A:B,2,FALSE)</f>
        <v>0cf4636c-9f15-5351-bb10-28b3a9e74052</v>
      </c>
      <c r="F292" s="1">
        <v>5953.2965291104201</v>
      </c>
      <c r="G292" s="1">
        <v>2886.9750091073602</v>
      </c>
      <c r="H292" s="1">
        <v>0</v>
      </c>
      <c r="I292" s="1">
        <v>-953.71782058391</v>
      </c>
      <c r="J292" s="1">
        <v>1</v>
      </c>
      <c r="K292" s="1" t="s">
        <v>1274</v>
      </c>
      <c r="L292" s="1">
        <v>1190</v>
      </c>
      <c r="M292" s="1" t="s">
        <v>65</v>
      </c>
      <c r="N292" s="3" t="s">
        <v>1220</v>
      </c>
      <c r="O292" s="1"/>
    </row>
    <row r="293" spans="1:15" x14ac:dyDescent="0.25">
      <c r="A293" s="2" t="s">
        <v>791</v>
      </c>
      <c r="B293" s="1" t="s">
        <v>312</v>
      </c>
      <c r="C293" s="1" t="s">
        <v>792</v>
      </c>
      <c r="D293" s="1" t="s">
        <v>1897</v>
      </c>
      <c r="E293" s="1" t="str">
        <f>VLOOKUP(Table1[[#This Row],[Navn DK]],product_nodes_new_id!A:B,2,FALSE)</f>
        <v>91906118-a928-5bda-9ed6-2115dbda7449</v>
      </c>
      <c r="F293" s="1">
        <v>3660.37168201656</v>
      </c>
      <c r="G293" s="1">
        <v>3038.25583715016</v>
      </c>
      <c r="H293" s="1">
        <v>0</v>
      </c>
      <c r="I293" s="1">
        <v>-624.71101559302701</v>
      </c>
      <c r="J293" s="1">
        <v>1</v>
      </c>
      <c r="K293" s="1" t="s">
        <v>1274</v>
      </c>
      <c r="L293" s="1">
        <v>1220</v>
      </c>
      <c r="M293" s="1" t="s">
        <v>65</v>
      </c>
      <c r="N293" s="3" t="s">
        <v>1224</v>
      </c>
      <c r="O293" s="1"/>
    </row>
    <row r="294" spans="1:15" x14ac:dyDescent="0.25">
      <c r="A294" s="2" t="s">
        <v>387</v>
      </c>
      <c r="B294" s="1" t="s">
        <v>312</v>
      </c>
      <c r="C294" s="1" t="s">
        <v>388</v>
      </c>
      <c r="D294" s="1" t="s">
        <v>1899</v>
      </c>
      <c r="E294" s="1" t="str">
        <f>VLOOKUP(Table1[[#This Row],[Navn DK]],product_nodes_new_id!A:B,2,FALSE)</f>
        <v>0355538a-bf9f-52ac-8988-28a8b15d0139</v>
      </c>
      <c r="F294" s="1">
        <v>7.6944976581934101</v>
      </c>
      <c r="G294" s="1">
        <v>1.0140732849999901</v>
      </c>
      <c r="H294" s="1">
        <v>0</v>
      </c>
      <c r="I294" s="1">
        <v>-0.29607158278435902</v>
      </c>
      <c r="J294" s="1">
        <v>1</v>
      </c>
      <c r="K294" s="1" t="s">
        <v>16</v>
      </c>
      <c r="L294" s="1">
        <v>1</v>
      </c>
      <c r="M294" s="1" t="s">
        <v>17</v>
      </c>
      <c r="N294" s="3" t="s">
        <v>1134</v>
      </c>
      <c r="O294" s="1"/>
    </row>
    <row r="295" spans="1:15" x14ac:dyDescent="0.25">
      <c r="A295" s="2" t="s">
        <v>1258</v>
      </c>
      <c r="B295" s="1" t="s">
        <v>126</v>
      </c>
      <c r="C295" s="1" t="s">
        <v>21</v>
      </c>
      <c r="D295" s="1" t="s">
        <v>29</v>
      </c>
      <c r="E295" s="1" t="e">
        <f>VLOOKUP(Table1[[#This Row],[Navn DK]],product_nodes_new_id!A:B,2,FALSE)</f>
        <v>#N/A</v>
      </c>
      <c r="F295" s="1">
        <v>101.233</v>
      </c>
      <c r="G295" s="1">
        <v>10.879000000000001</v>
      </c>
      <c r="H295" s="1">
        <v>0.53680000000000005</v>
      </c>
      <c r="I295" s="1">
        <v>-23.2</v>
      </c>
      <c r="J295" s="1">
        <v>1</v>
      </c>
      <c r="K295" s="1" t="s">
        <v>1272</v>
      </c>
      <c r="L295" s="1">
        <v>38.700000000000003</v>
      </c>
      <c r="M295" s="1" t="s">
        <v>23</v>
      </c>
      <c r="N295" s="15" t="s">
        <v>30</v>
      </c>
      <c r="O295" s="1" t="s">
        <v>1264</v>
      </c>
    </row>
    <row r="296" spans="1:15" x14ac:dyDescent="0.25">
      <c r="A296" s="2" t="s">
        <v>1259</v>
      </c>
      <c r="B296" s="1" t="s">
        <v>126</v>
      </c>
      <c r="C296" s="1" t="s">
        <v>21</v>
      </c>
      <c r="D296" s="1" t="s">
        <v>25</v>
      </c>
      <c r="E296" s="1" t="e">
        <f>VLOOKUP(Table1[[#This Row],[Navn DK]],product_nodes_new_id!A:B,2,FALSE)</f>
        <v>#N/A</v>
      </c>
      <c r="F296" s="1">
        <v>87.164000000000001</v>
      </c>
      <c r="G296" s="1">
        <v>8.3710000000000004</v>
      </c>
      <c r="H296" s="1">
        <v>0.53239999999999998</v>
      </c>
      <c r="I296" s="1">
        <v>-15.4</v>
      </c>
      <c r="J296" s="1">
        <v>1</v>
      </c>
      <c r="K296" s="1" t="s">
        <v>1272</v>
      </c>
      <c r="L296" s="1">
        <v>35.1</v>
      </c>
      <c r="M296" s="1" t="s">
        <v>23</v>
      </c>
      <c r="N296" s="15" t="s">
        <v>26</v>
      </c>
      <c r="O296" s="1" t="s">
        <v>1264</v>
      </c>
    </row>
    <row r="297" spans="1:15" x14ac:dyDescent="0.25">
      <c r="A297" s="2" t="s">
        <v>489</v>
      </c>
      <c r="B297" s="1" t="s">
        <v>312</v>
      </c>
      <c r="C297" s="1" t="s">
        <v>490</v>
      </c>
      <c r="D297" s="1" t="s">
        <v>1901</v>
      </c>
      <c r="E297" s="1" t="str">
        <f>VLOOKUP(Table1[[#This Row],[Navn DK]],product_nodes_new_id!A:B,2,FALSE)</f>
        <v>d8d28e66-1a1e-51b8-8074-21eeef5a32dc</v>
      </c>
      <c r="F297" s="1">
        <v>4.0015900313832198</v>
      </c>
      <c r="G297" s="1">
        <v>3.2202060623463402</v>
      </c>
      <c r="H297" s="1">
        <v>1.6092731618195201E-3</v>
      </c>
      <c r="I297" s="1">
        <v>-1.22293041494354</v>
      </c>
      <c r="J297" s="1">
        <v>1</v>
      </c>
      <c r="K297" s="1" t="s">
        <v>16</v>
      </c>
      <c r="L297" s="1">
        <v>1</v>
      </c>
      <c r="M297" s="1" t="s">
        <v>17</v>
      </c>
      <c r="N297" s="3" t="s">
        <v>1165</v>
      </c>
      <c r="O297" s="1"/>
    </row>
    <row r="298" spans="1:15" x14ac:dyDescent="0.25">
      <c r="A298" s="2" t="s">
        <v>389</v>
      </c>
      <c r="B298" s="1" t="s">
        <v>312</v>
      </c>
      <c r="C298" s="1" t="s">
        <v>390</v>
      </c>
      <c r="D298" s="1" t="s">
        <v>1903</v>
      </c>
      <c r="E298" s="1" t="str">
        <f>VLOOKUP(Table1[[#This Row],[Navn DK]],product_nodes_new_id!A:B,2,FALSE)</f>
        <v>11700a1f-0c70-57ea-b1b8-73fcd0e5d3d7</v>
      </c>
      <c r="F298" s="1">
        <v>5.4982037058159197</v>
      </c>
      <c r="G298" s="1">
        <v>3.3259459926161101</v>
      </c>
      <c r="H298" s="1">
        <v>0</v>
      </c>
      <c r="I298" s="1">
        <v>-0.87548832795029696</v>
      </c>
      <c r="J298" s="1">
        <v>1</v>
      </c>
      <c r="K298" s="1" t="s">
        <v>16</v>
      </c>
      <c r="L298" s="1">
        <v>1200</v>
      </c>
      <c r="M298" s="1" t="s">
        <v>65</v>
      </c>
      <c r="N298" s="3" t="s">
        <v>1135</v>
      </c>
      <c r="O298" s="1"/>
    </row>
    <row r="299" spans="1:15" x14ac:dyDescent="0.25">
      <c r="A299" s="2" t="s">
        <v>505</v>
      </c>
      <c r="B299" s="1" t="s">
        <v>312</v>
      </c>
      <c r="C299" s="1" t="s">
        <v>506</v>
      </c>
      <c r="D299" s="1" t="s">
        <v>1905</v>
      </c>
      <c r="E299" s="1" t="str">
        <f>VLOOKUP(Table1[[#This Row],[Navn DK]],product_nodes_new_id!A:B,2,FALSE)</f>
        <v>8926552b-c77d-5069-9a28-25e2f39fae06</v>
      </c>
      <c r="F299" s="1">
        <v>2.9211784734536499</v>
      </c>
      <c r="G299" s="1">
        <v>3.98250622580687</v>
      </c>
      <c r="H299" s="1">
        <v>0</v>
      </c>
      <c r="I299" s="1">
        <v>-1.3842027428694099</v>
      </c>
      <c r="J299" s="1">
        <v>1</v>
      </c>
      <c r="K299" s="1" t="s">
        <v>16</v>
      </c>
      <c r="L299" s="1">
        <v>30</v>
      </c>
      <c r="M299" s="1" t="s">
        <v>65</v>
      </c>
      <c r="N299" s="3" t="s">
        <v>1173</v>
      </c>
      <c r="O299" s="1"/>
    </row>
    <row r="300" spans="1:15" x14ac:dyDescent="0.25">
      <c r="A300" s="2" t="s">
        <v>824</v>
      </c>
      <c r="B300" s="1" t="s">
        <v>312</v>
      </c>
      <c r="C300" s="1" t="s">
        <v>825</v>
      </c>
      <c r="D300" s="1" t="s">
        <v>1907</v>
      </c>
      <c r="E300" s="1" t="str">
        <f>VLOOKUP(Table1[[#This Row],[Navn DK]],product_nodes_new_id!A:B,2,FALSE)</f>
        <v>2d9106c0-e4e3-5dad-a864-3ac9afc654b4</v>
      </c>
      <c r="F300" s="1">
        <v>162.112796651314</v>
      </c>
      <c r="G300" s="1">
        <v>103.378787072755</v>
      </c>
      <c r="H300" s="1">
        <v>0</v>
      </c>
      <c r="I300" s="1">
        <v>-36.241512134061203</v>
      </c>
      <c r="J300" s="1">
        <v>1</v>
      </c>
      <c r="K300" s="1" t="s">
        <v>1274</v>
      </c>
      <c r="L300" s="1">
        <v>350</v>
      </c>
      <c r="M300" s="1" t="s">
        <v>65</v>
      </c>
      <c r="N300" s="3" t="s">
        <v>826</v>
      </c>
      <c r="O300" s="1"/>
    </row>
    <row r="301" spans="1:15" x14ac:dyDescent="0.25">
      <c r="A301" s="2" t="s">
        <v>798</v>
      </c>
      <c r="B301" s="1" t="s">
        <v>312</v>
      </c>
      <c r="C301" s="1" t="s">
        <v>799</v>
      </c>
      <c r="D301" s="1" t="s">
        <v>1909</v>
      </c>
      <c r="E301" s="1" t="str">
        <f>VLOOKUP(Table1[[#This Row],[Navn DK]],product_nodes_new_id!A:B,2,FALSE)</f>
        <v>ca6d1c80-881e-533a-b93d-4a0714d72227</v>
      </c>
      <c r="F301" s="1">
        <v>48.969155725444601</v>
      </c>
      <c r="G301" s="1">
        <v>55.381493074689999</v>
      </c>
      <c r="H301" s="1">
        <v>0</v>
      </c>
      <c r="I301" s="1">
        <v>-19.4150957861042</v>
      </c>
      <c r="J301" s="1">
        <v>1</v>
      </c>
      <c r="K301" s="1" t="s">
        <v>1274</v>
      </c>
      <c r="L301" s="1">
        <v>15</v>
      </c>
      <c r="M301" s="1" t="s">
        <v>65</v>
      </c>
      <c r="N301" s="3" t="s">
        <v>800</v>
      </c>
      <c r="O301" s="1"/>
    </row>
    <row r="302" spans="1:15" x14ac:dyDescent="0.25">
      <c r="A302" s="2" t="s">
        <v>819</v>
      </c>
      <c r="B302" s="1" t="s">
        <v>312</v>
      </c>
      <c r="C302" s="1" t="s">
        <v>820</v>
      </c>
      <c r="D302" s="1" t="s">
        <v>1911</v>
      </c>
      <c r="E302" s="1" t="str">
        <f>VLOOKUP(Table1[[#This Row],[Navn DK]],product_nodes_new_id!A:B,2,FALSE)</f>
        <v>b16c0c20-5870-5094-af5f-5fda20c3f063</v>
      </c>
      <c r="F302" s="1">
        <v>152.994597699785</v>
      </c>
      <c r="G302" s="1">
        <v>2.7341241157639198</v>
      </c>
      <c r="H302" s="1">
        <v>1.7601035296446899E-3</v>
      </c>
      <c r="I302" s="1">
        <v>-0.79749235984479405</v>
      </c>
      <c r="J302" s="1">
        <v>1</v>
      </c>
      <c r="K302" s="1" t="s">
        <v>1274</v>
      </c>
      <c r="L302" s="1">
        <v>30</v>
      </c>
      <c r="M302" s="1" t="s">
        <v>65</v>
      </c>
      <c r="N302" s="3" t="s">
        <v>1232</v>
      </c>
      <c r="O302" s="1"/>
    </row>
    <row r="303" spans="1:15" x14ac:dyDescent="0.25">
      <c r="A303" s="2" t="s">
        <v>278</v>
      </c>
      <c r="B303" s="1" t="s">
        <v>126</v>
      </c>
      <c r="C303" s="1" t="s">
        <v>21</v>
      </c>
      <c r="D303" s="1" t="s">
        <v>279</v>
      </c>
      <c r="E303" s="1" t="e">
        <f>VLOOKUP(Table1[[#This Row],[Navn DK]],product_nodes_new_id!A:B,2,FALSE)</f>
        <v>#N/A</v>
      </c>
      <c r="F303" s="1">
        <v>243.10000000000002</v>
      </c>
      <c r="G303" s="1">
        <v>7.051000000000001</v>
      </c>
      <c r="H303" s="1">
        <v>6.4790000000000001</v>
      </c>
      <c r="I303" s="1">
        <v>-1.377</v>
      </c>
      <c r="J303" s="1">
        <v>1</v>
      </c>
      <c r="K303" s="1" t="s">
        <v>1274</v>
      </c>
      <c r="L303" s="1">
        <v>545</v>
      </c>
      <c r="M303" s="1" t="s">
        <v>65</v>
      </c>
      <c r="N303" s="3" t="s">
        <v>128</v>
      </c>
      <c r="O303" s="1"/>
    </row>
    <row r="304" spans="1:15" x14ac:dyDescent="0.25">
      <c r="A304" s="2" t="s">
        <v>835</v>
      </c>
      <c r="B304" s="1" t="s">
        <v>312</v>
      </c>
      <c r="C304" s="1" t="s">
        <v>836</v>
      </c>
      <c r="D304" s="1" t="s">
        <v>1915</v>
      </c>
      <c r="E304" s="1" t="str">
        <f>VLOOKUP(Table1[[#This Row],[Navn DK]],product_nodes_new_id!A:B,2,FALSE)</f>
        <v>3715785d-e3bf-5d48-80e6-00324fadfc89</v>
      </c>
      <c r="F304" s="1">
        <v>224.830330325614</v>
      </c>
      <c r="G304" s="1">
        <v>3.1935164190804199</v>
      </c>
      <c r="H304" s="1">
        <v>0</v>
      </c>
      <c r="I304" s="1">
        <v>-0.743220464869084</v>
      </c>
      <c r="J304" s="1">
        <v>1</v>
      </c>
      <c r="K304" s="1" t="s">
        <v>1274</v>
      </c>
      <c r="L304" s="1">
        <v>472</v>
      </c>
      <c r="M304" s="1" t="s">
        <v>65</v>
      </c>
      <c r="N304" s="3" t="s">
        <v>1237</v>
      </c>
      <c r="O304" s="1"/>
    </row>
    <row r="305" spans="1:15" x14ac:dyDescent="0.25">
      <c r="A305" s="2" t="s">
        <v>840</v>
      </c>
      <c r="B305" s="1" t="s">
        <v>312</v>
      </c>
      <c r="C305" s="1" t="s">
        <v>841</v>
      </c>
      <c r="D305" s="1" t="s">
        <v>1917</v>
      </c>
      <c r="E305" s="1" t="str">
        <f>VLOOKUP(Table1[[#This Row],[Navn DK]],product_nodes_new_id!A:B,2,FALSE)</f>
        <v>ea5e04b7-158f-56bf-9109-e0c814a287b1</v>
      </c>
      <c r="F305" s="1">
        <v>261.96034498132701</v>
      </c>
      <c r="G305" s="1">
        <v>3.38106784945523</v>
      </c>
      <c r="H305" s="1">
        <v>0</v>
      </c>
      <c r="I305" s="1">
        <v>3.4616051949729001</v>
      </c>
      <c r="J305" s="1">
        <v>1</v>
      </c>
      <c r="K305" s="1" t="s">
        <v>1274</v>
      </c>
      <c r="L305" s="1">
        <v>500</v>
      </c>
      <c r="M305" s="1" t="s">
        <v>65</v>
      </c>
      <c r="N305" s="3" t="s">
        <v>1238</v>
      </c>
      <c r="O305" s="1"/>
    </row>
    <row r="306" spans="1:15" x14ac:dyDescent="0.25">
      <c r="A306" s="2" t="s">
        <v>831</v>
      </c>
      <c r="B306" s="1" t="s">
        <v>312</v>
      </c>
      <c r="C306" s="1" t="s">
        <v>832</v>
      </c>
      <c r="D306" s="1" t="s">
        <v>1919</v>
      </c>
      <c r="E306" s="1" t="str">
        <f>VLOOKUP(Table1[[#This Row],[Navn DK]],product_nodes_new_id!A:B,2,FALSE)</f>
        <v>cd0fa83c-b0c0-5a93-bff8-95b8d22ebd10</v>
      </c>
      <c r="F306" s="1">
        <v>5.5578226871552801</v>
      </c>
      <c r="G306" s="1">
        <v>2.7063698466783301</v>
      </c>
      <c r="H306" s="1">
        <v>0</v>
      </c>
      <c r="I306" s="1">
        <v>-0.62984785158396905</v>
      </c>
      <c r="J306" s="1">
        <v>1</v>
      </c>
      <c r="K306" s="1" t="s">
        <v>1274</v>
      </c>
      <c r="L306" s="1">
        <v>400</v>
      </c>
      <c r="M306" s="1" t="s">
        <v>65</v>
      </c>
      <c r="N306" s="3" t="s">
        <v>1235</v>
      </c>
      <c r="O306" s="1"/>
    </row>
    <row r="307" spans="1:15" x14ac:dyDescent="0.25">
      <c r="A307" s="2" t="s">
        <v>274</v>
      </c>
      <c r="B307" s="1" t="s">
        <v>126</v>
      </c>
      <c r="C307" s="1" t="s">
        <v>21</v>
      </c>
      <c r="D307" s="1" t="s">
        <v>275</v>
      </c>
      <c r="E307" s="1" t="e">
        <f>VLOOKUP(Table1[[#This Row],[Navn DK]],product_nodes_new_id!A:B,2,FALSE)</f>
        <v>#N/A</v>
      </c>
      <c r="F307" s="1">
        <v>108.24000000000001</v>
      </c>
      <c r="G307" s="1">
        <v>1.4878256880733949</v>
      </c>
      <c r="H307" s="1">
        <v>1.3671284403669726</v>
      </c>
      <c r="I307" s="1">
        <v>-11.16</v>
      </c>
      <c r="J307" s="1">
        <v>1</v>
      </c>
      <c r="K307" s="1" t="s">
        <v>1274</v>
      </c>
      <c r="L307" s="1">
        <v>115</v>
      </c>
      <c r="M307" s="1" t="s">
        <v>65</v>
      </c>
      <c r="N307" s="3" t="s">
        <v>128</v>
      </c>
      <c r="O307" s="1"/>
    </row>
    <row r="308" spans="1:15" x14ac:dyDescent="0.25">
      <c r="A308" s="2" t="s">
        <v>131</v>
      </c>
      <c r="B308" s="1" t="s">
        <v>126</v>
      </c>
      <c r="C308" s="1" t="s">
        <v>21</v>
      </c>
      <c r="D308" s="1" t="s">
        <v>132</v>
      </c>
      <c r="E308" s="1" t="e">
        <f>VLOOKUP(Table1[[#This Row],[Navn DK]],product_nodes_new_id!A:B,2,FALSE)</f>
        <v>#N/A</v>
      </c>
      <c r="F308" s="1">
        <v>2.9040000000000004</v>
      </c>
      <c r="G308" s="1">
        <v>0.47190000000000004</v>
      </c>
      <c r="H308" s="1">
        <v>0</v>
      </c>
      <c r="I308" s="1">
        <v>-0.30780000000000002</v>
      </c>
      <c r="J308" s="1">
        <v>1</v>
      </c>
      <c r="K308" s="1" t="s">
        <v>16</v>
      </c>
      <c r="L308" s="1">
        <v>1500</v>
      </c>
      <c r="M308" s="1" t="s">
        <v>65</v>
      </c>
      <c r="N308" s="3" t="s">
        <v>128</v>
      </c>
      <c r="O308" s="1"/>
    </row>
    <row r="309" spans="1:15" x14ac:dyDescent="0.25">
      <c r="A309" s="2" t="s">
        <v>431</v>
      </c>
      <c r="B309" s="1" t="s">
        <v>312</v>
      </c>
      <c r="C309" s="1" t="s">
        <v>432</v>
      </c>
      <c r="D309" s="1" t="s">
        <v>1921</v>
      </c>
      <c r="E309" s="1" t="str">
        <f>VLOOKUP(Table1[[#This Row],[Navn DK]],product_nodes_new_id!A:B,2,FALSE)</f>
        <v>758056c9-93af-5869-a423-b5a19d8b0346</v>
      </c>
      <c r="F309" s="1">
        <v>0.63796233354392595</v>
      </c>
      <c r="G309" s="1">
        <v>0</v>
      </c>
      <c r="H309" s="1">
        <v>0</v>
      </c>
      <c r="I309" s="1">
        <v>-0.52831218378212597</v>
      </c>
      <c r="J309" s="1">
        <v>1</v>
      </c>
      <c r="K309" s="1" t="s">
        <v>16</v>
      </c>
      <c r="L309" s="1">
        <v>1</v>
      </c>
      <c r="M309" s="1" t="s">
        <v>17</v>
      </c>
      <c r="N309" s="3" t="s">
        <v>1147</v>
      </c>
      <c r="O309" s="1"/>
    </row>
    <row r="310" spans="1:15" x14ac:dyDescent="0.25">
      <c r="A310" s="2" t="s">
        <v>135</v>
      </c>
      <c r="B310" s="1" t="s">
        <v>126</v>
      </c>
      <c r="C310" s="1" t="s">
        <v>21</v>
      </c>
      <c r="D310" s="1" t="s">
        <v>136</v>
      </c>
      <c r="E310" s="1" t="e">
        <f>VLOOKUP(Table1[[#This Row],[Navn DK]],product_nodes_new_id!A:B,2,FALSE)</f>
        <v>#N/A</v>
      </c>
      <c r="F310" s="1">
        <v>1.9800000000000002</v>
      </c>
      <c r="G310" s="1">
        <v>2.7170000000000005</v>
      </c>
      <c r="H310" s="1">
        <v>0</v>
      </c>
      <c r="I310" s="1">
        <v>-0.65249999999999997</v>
      </c>
      <c r="J310" s="1">
        <v>1</v>
      </c>
      <c r="K310" s="1" t="s">
        <v>16</v>
      </c>
      <c r="L310" s="1">
        <v>1.8</v>
      </c>
      <c r="M310" s="1" t="s">
        <v>127</v>
      </c>
      <c r="N310" s="3" t="s">
        <v>128</v>
      </c>
      <c r="O310" s="1"/>
    </row>
    <row r="311" spans="1:15" x14ac:dyDescent="0.25">
      <c r="A311" s="2" t="s">
        <v>868</v>
      </c>
      <c r="B311" s="1" t="s">
        <v>312</v>
      </c>
      <c r="C311" s="1" t="s">
        <v>869</v>
      </c>
      <c r="D311" s="1" t="s">
        <v>1923</v>
      </c>
      <c r="E311" s="1" t="str">
        <f>VLOOKUP(Table1[[#This Row],[Navn DK]],product_nodes_new_id!A:B,2,FALSE)</f>
        <v>49e6e40b-3e2b-5f1c-9251-86606059175a</v>
      </c>
      <c r="F311" s="1">
        <v>129.13557086628501</v>
      </c>
      <c r="G311" s="1">
        <v>0</v>
      </c>
      <c r="H311" s="1">
        <v>16.202458456375702</v>
      </c>
      <c r="I311" s="1">
        <v>0</v>
      </c>
      <c r="J311" s="1">
        <v>1</v>
      </c>
      <c r="K311" s="1" t="s">
        <v>1274</v>
      </c>
      <c r="L311" s="1">
        <v>900</v>
      </c>
      <c r="M311" s="1" t="s">
        <v>65</v>
      </c>
      <c r="N311" s="3" t="s">
        <v>870</v>
      </c>
      <c r="O311" s="1"/>
    </row>
    <row r="312" spans="1:15" x14ac:dyDescent="0.25">
      <c r="A312" s="2" t="s">
        <v>1090</v>
      </c>
      <c r="B312" s="1" t="s">
        <v>312</v>
      </c>
      <c r="C312" s="1" t="s">
        <v>1091</v>
      </c>
      <c r="D312" s="1" t="s">
        <v>1925</v>
      </c>
      <c r="E312" s="1" t="str">
        <f>VLOOKUP(Table1[[#This Row],[Navn DK]],product_nodes_new_id!A:B,2,FALSE)</f>
        <v>f0329a70-2610-5b34-a5b7-6082cd85fc74</v>
      </c>
      <c r="F312" s="1">
        <v>112.277865935908</v>
      </c>
      <c r="G312" s="1">
        <v>0</v>
      </c>
      <c r="H312" s="1">
        <v>16.172458456375701</v>
      </c>
      <c r="I312" s="1">
        <v>0</v>
      </c>
      <c r="J312" s="1">
        <v>1</v>
      </c>
      <c r="K312" s="1" t="s">
        <v>1274</v>
      </c>
      <c r="L312" s="1">
        <v>900</v>
      </c>
      <c r="M312" s="1" t="s">
        <v>65</v>
      </c>
      <c r="N312" s="3" t="s">
        <v>1092</v>
      </c>
      <c r="O312" s="1"/>
    </row>
    <row r="313" spans="1:15" x14ac:dyDescent="0.25">
      <c r="A313" s="2" t="s">
        <v>866</v>
      </c>
      <c r="B313" s="1" t="s">
        <v>312</v>
      </c>
      <c r="C313" s="1" t="s">
        <v>867</v>
      </c>
      <c r="D313" s="1" t="s">
        <v>1927</v>
      </c>
      <c r="E313" s="1" t="str">
        <f>VLOOKUP(Table1[[#This Row],[Navn DK]],product_nodes_new_id!A:B,2,FALSE)</f>
        <v>c496d531-3138-505a-b701-65081993a830</v>
      </c>
      <c r="F313" s="1">
        <v>196.91587818045099</v>
      </c>
      <c r="G313" s="1">
        <v>0</v>
      </c>
      <c r="H313" s="1">
        <v>14.483458456375701</v>
      </c>
      <c r="I313" s="1">
        <v>0</v>
      </c>
      <c r="J313" s="1">
        <v>1</v>
      </c>
      <c r="K313" s="1" t="s">
        <v>1274</v>
      </c>
      <c r="L313" s="1">
        <v>900</v>
      </c>
      <c r="M313" s="1" t="s">
        <v>65</v>
      </c>
      <c r="N313" s="3" t="s">
        <v>1242</v>
      </c>
      <c r="O313" s="1"/>
    </row>
    <row r="314" spans="1:15" x14ac:dyDescent="0.25">
      <c r="A314" s="2" t="s">
        <v>804</v>
      </c>
      <c r="B314" s="1" t="s">
        <v>312</v>
      </c>
      <c r="C314" s="1" t="s">
        <v>805</v>
      </c>
      <c r="D314" s="1" t="s">
        <v>1929</v>
      </c>
      <c r="E314" s="1" t="str">
        <f>VLOOKUP(Table1[[#This Row],[Navn DK]],product_nodes_new_id!A:B,2,FALSE)</f>
        <v>81b5b1b6-296b-5b5e-a55f-07ed9efea47f</v>
      </c>
      <c r="F314" s="1">
        <v>1159.5917635554399</v>
      </c>
      <c r="G314" s="1">
        <v>0</v>
      </c>
      <c r="H314" s="1">
        <v>27.3576437509318</v>
      </c>
      <c r="I314" s="1">
        <v>0</v>
      </c>
      <c r="J314" s="1">
        <v>1</v>
      </c>
      <c r="K314" s="1" t="s">
        <v>1274</v>
      </c>
      <c r="L314" s="1">
        <v>1700</v>
      </c>
      <c r="M314" s="1" t="s">
        <v>65</v>
      </c>
      <c r="N314" s="3" t="s">
        <v>1226</v>
      </c>
      <c r="O314" s="1"/>
    </row>
    <row r="315" spans="1:15" x14ac:dyDescent="0.25">
      <c r="A315" s="2" t="s">
        <v>285</v>
      </c>
      <c r="B315" s="1" t="s">
        <v>126</v>
      </c>
      <c r="C315" s="1" t="s">
        <v>21</v>
      </c>
      <c r="D315" s="1" t="s">
        <v>286</v>
      </c>
      <c r="E315" s="1" t="e">
        <f>VLOOKUP(Table1[[#This Row],[Navn DK]],product_nodes_new_id!A:B,2,FALSE)</f>
        <v>#N/A</v>
      </c>
      <c r="F315" s="1">
        <v>491.70000000000005</v>
      </c>
      <c r="G315" s="1">
        <v>0.7128000000000001</v>
      </c>
      <c r="H315" s="1">
        <v>5.8080000000000007</v>
      </c>
      <c r="I315" s="1">
        <v>-1.881</v>
      </c>
      <c r="J315" s="1">
        <v>1</v>
      </c>
      <c r="K315" s="1" t="s">
        <v>283</v>
      </c>
      <c r="L315" s="1">
        <v>1600</v>
      </c>
      <c r="M315" s="1" t="s">
        <v>65</v>
      </c>
      <c r="N315" s="3" t="s">
        <v>128</v>
      </c>
      <c r="O315" s="1"/>
    </row>
    <row r="316" spans="1:15" x14ac:dyDescent="0.25">
      <c r="A316" s="2" t="s">
        <v>349</v>
      </c>
      <c r="B316" s="1" t="s">
        <v>312</v>
      </c>
      <c r="C316" s="1" t="s">
        <v>350</v>
      </c>
      <c r="D316" s="1" t="s">
        <v>1855</v>
      </c>
      <c r="E316" s="1" t="str">
        <f>VLOOKUP(Table1[[#This Row],[Navn DK]],product_nodes_new_id!A:B,2,FALSE)</f>
        <v>f6849492-bcc4-5612-91ae-d9301d256ca2</v>
      </c>
      <c r="F316" s="1">
        <v>5.5732469356739296</v>
      </c>
      <c r="G316" s="1">
        <v>2.6536726506528598</v>
      </c>
      <c r="H316" s="1">
        <v>0</v>
      </c>
      <c r="I316" s="1">
        <v>-0.72326819936169295</v>
      </c>
      <c r="J316" s="1">
        <v>1</v>
      </c>
      <c r="K316" s="1" t="s">
        <v>16</v>
      </c>
      <c r="L316" s="1">
        <v>1</v>
      </c>
      <c r="M316" s="1" t="s">
        <v>17</v>
      </c>
      <c r="N316" s="3" t="s">
        <v>1121</v>
      </c>
      <c r="O316" s="1"/>
    </row>
    <row r="317" spans="1:15" x14ac:dyDescent="0.25">
      <c r="A317" s="2" t="s">
        <v>629</v>
      </c>
      <c r="B317" s="1" t="s">
        <v>312</v>
      </c>
      <c r="C317" s="1" t="s">
        <v>630</v>
      </c>
      <c r="D317" s="1" t="s">
        <v>1857</v>
      </c>
      <c r="E317" s="1" t="str">
        <f>VLOOKUP(Table1[[#This Row],[Navn DK]],product_nodes_new_id!A:B,2,FALSE)</f>
        <v>51aa1fca-4bcd-5192-8c67-ac6ef9fc376c</v>
      </c>
      <c r="F317" s="1">
        <v>0.77241503247731802</v>
      </c>
      <c r="G317" s="1">
        <v>0.54113546317781402</v>
      </c>
      <c r="H317" s="1">
        <v>0</v>
      </c>
      <c r="I317" s="1">
        <v>-0.147489985752188</v>
      </c>
      <c r="J317" s="1">
        <v>1</v>
      </c>
      <c r="K317" s="1" t="s">
        <v>1272</v>
      </c>
      <c r="L317" s="1">
        <v>0.2</v>
      </c>
      <c r="M317" s="1" t="s">
        <v>23</v>
      </c>
      <c r="N317" s="3" t="s">
        <v>631</v>
      </c>
      <c r="O317" s="1"/>
    </row>
    <row r="318" spans="1:15" x14ac:dyDescent="0.25">
      <c r="A318" s="2" t="s">
        <v>725</v>
      </c>
      <c r="B318" s="1" t="s">
        <v>312</v>
      </c>
      <c r="C318" s="1" t="s">
        <v>726</v>
      </c>
      <c r="D318" s="1" t="s">
        <v>1859</v>
      </c>
      <c r="E318" s="1" t="str">
        <f>VLOOKUP(Table1[[#This Row],[Navn DK]],product_nodes_new_id!A:B,2,FALSE)</f>
        <v>4dcaf13b-44a4-540a-bfa8-996290a64f26</v>
      </c>
      <c r="F318" s="1">
        <v>7.6052427738123098</v>
      </c>
      <c r="G318" s="1">
        <v>8.2182330021274801</v>
      </c>
      <c r="H318" s="1">
        <v>0</v>
      </c>
      <c r="I318" s="1">
        <v>-1.6897920913581901</v>
      </c>
      <c r="J318" s="1">
        <v>1</v>
      </c>
      <c r="K318" s="1" t="s">
        <v>1272</v>
      </c>
      <c r="L318" s="1">
        <v>3.3</v>
      </c>
      <c r="M318" s="1" t="s">
        <v>23</v>
      </c>
      <c r="N318" s="3" t="s">
        <v>727</v>
      </c>
      <c r="O318" s="1"/>
    </row>
    <row r="319" spans="1:15" x14ac:dyDescent="0.25">
      <c r="A319" s="2" t="s">
        <v>541</v>
      </c>
      <c r="B319" s="1" t="s">
        <v>312</v>
      </c>
      <c r="C319" s="1" t="s">
        <v>542</v>
      </c>
      <c r="D319" s="1" t="s">
        <v>1861</v>
      </c>
      <c r="E319" s="1" t="str">
        <f>VLOOKUP(Table1[[#This Row],[Navn DK]],product_nodes_new_id!A:B,2,FALSE)</f>
        <v>a7d3b51c-09bf-556d-b9b4-e84598d74e29</v>
      </c>
      <c r="F319" s="1">
        <v>2.3254748299953798</v>
      </c>
      <c r="G319" s="1">
        <v>2.0755504847745998</v>
      </c>
      <c r="H319" s="1">
        <v>0</v>
      </c>
      <c r="I319" s="1">
        <v>-0.42671517458540098</v>
      </c>
      <c r="J319" s="1">
        <v>1</v>
      </c>
      <c r="K319" s="1" t="s">
        <v>16</v>
      </c>
      <c r="L319" s="1">
        <v>1</v>
      </c>
      <c r="M319" s="1" t="s">
        <v>17</v>
      </c>
      <c r="N319" s="3" t="s">
        <v>1186</v>
      </c>
      <c r="O319" s="1"/>
    </row>
    <row r="320" spans="1:15" x14ac:dyDescent="0.25">
      <c r="A320" s="2" t="s">
        <v>346</v>
      </c>
      <c r="B320" s="1" t="s">
        <v>312</v>
      </c>
      <c r="C320" s="1" t="s">
        <v>347</v>
      </c>
      <c r="D320" s="1" t="s">
        <v>1931</v>
      </c>
      <c r="E320" s="1" t="str">
        <f>VLOOKUP(Table1[[#This Row],[Navn DK]],product_nodes_new_id!A:B,2,FALSE)</f>
        <v>f9bae892-ab98-50ed-b841-d8d21ac45d80</v>
      </c>
      <c r="F320" s="1">
        <v>4.5138825578256299</v>
      </c>
      <c r="G320" s="1">
        <v>0</v>
      </c>
      <c r="H320" s="1">
        <v>8.8005176482234605E-4</v>
      </c>
      <c r="I320" s="1">
        <v>-1.29859369293493</v>
      </c>
      <c r="J320" s="1">
        <v>1</v>
      </c>
      <c r="K320" s="1" t="s">
        <v>16</v>
      </c>
      <c r="L320" s="1">
        <v>1</v>
      </c>
      <c r="M320" s="1" t="s">
        <v>17</v>
      </c>
      <c r="N320" s="3" t="s">
        <v>348</v>
      </c>
      <c r="O320" s="1"/>
    </row>
    <row r="321" spans="1:15" x14ac:dyDescent="0.25">
      <c r="A321" s="2" t="s">
        <v>507</v>
      </c>
      <c r="B321" s="1" t="s">
        <v>312</v>
      </c>
      <c r="C321" s="1" t="s">
        <v>508</v>
      </c>
      <c r="D321" s="1" t="s">
        <v>1933</v>
      </c>
      <c r="E321" s="1" t="str">
        <f>VLOOKUP(Table1[[#This Row],[Navn DK]],product_nodes_new_id!A:B,2,FALSE)</f>
        <v>59b152ed-5c70-5874-b504-a809964ec12f</v>
      </c>
      <c r="F321" s="1">
        <v>0.64123144087432504</v>
      </c>
      <c r="G321" s="1">
        <v>0</v>
      </c>
      <c r="H321" s="1">
        <v>0</v>
      </c>
      <c r="I321" s="1">
        <v>0.120389133764673</v>
      </c>
      <c r="J321" s="1">
        <v>1</v>
      </c>
      <c r="K321" s="1" t="s">
        <v>16</v>
      </c>
      <c r="L321" s="1">
        <v>1</v>
      </c>
      <c r="M321" s="1" t="s">
        <v>17</v>
      </c>
      <c r="N321" s="3" t="s">
        <v>1174</v>
      </c>
      <c r="O321" s="1"/>
    </row>
    <row r="322" spans="1:15" x14ac:dyDescent="0.25">
      <c r="A322" s="2" t="s">
        <v>19</v>
      </c>
      <c r="B322" s="1" t="s">
        <v>14</v>
      </c>
      <c r="C322" s="1" t="s">
        <v>1263</v>
      </c>
      <c r="D322" s="1" t="s">
        <v>1262</v>
      </c>
      <c r="E322" s="1" t="e">
        <f>VLOOKUP(Table1[[#This Row],[Navn DK]],product_nodes_new_id!A:B,2,FALSE)</f>
        <v>#N/A</v>
      </c>
      <c r="F322" s="1">
        <v>4.0999999999999996</v>
      </c>
      <c r="G322" s="1">
        <v>5.3499999999999999E-2</v>
      </c>
      <c r="H322" s="1">
        <v>1.1999999999999999E-3</v>
      </c>
      <c r="I322" s="1">
        <v>-1.48</v>
      </c>
      <c r="J322" s="1">
        <v>1</v>
      </c>
      <c r="K322" s="1" t="s">
        <v>16</v>
      </c>
      <c r="L322" s="1">
        <v>1</v>
      </c>
      <c r="M322" s="1" t="s">
        <v>17</v>
      </c>
      <c r="N322" s="3" t="s">
        <v>20</v>
      </c>
      <c r="O322" s="1"/>
    </row>
    <row r="323" spans="1:15" x14ac:dyDescent="0.25">
      <c r="A323" s="2" t="s">
        <v>711</v>
      </c>
      <c r="B323" s="1" t="s">
        <v>312</v>
      </c>
      <c r="C323" s="1" t="s">
        <v>712</v>
      </c>
      <c r="D323" s="1" t="s">
        <v>2207</v>
      </c>
      <c r="E323" s="1" t="e">
        <f>VLOOKUP(Table1[[#This Row],[Navn DK]],product_nodes_new_id!A:B,2,FALSE)</f>
        <v>#N/A</v>
      </c>
      <c r="F323" s="1">
        <v>36.641405996199701</v>
      </c>
      <c r="G323" s="1">
        <v>1.51967520389404</v>
      </c>
      <c r="H323" s="1">
        <v>0.35202070592893803</v>
      </c>
      <c r="I323" s="1">
        <v>-0.44410737417653801</v>
      </c>
      <c r="J323" s="1">
        <v>1</v>
      </c>
      <c r="K323" s="1" t="s">
        <v>1272</v>
      </c>
      <c r="L323" s="1">
        <v>20.5</v>
      </c>
      <c r="M323" s="1" t="s">
        <v>23</v>
      </c>
      <c r="N323" s="3" t="s">
        <v>1214</v>
      </c>
      <c r="O323" s="1"/>
    </row>
    <row r="324" spans="1:15" x14ac:dyDescent="0.25">
      <c r="A324" s="2" t="s">
        <v>733</v>
      </c>
      <c r="B324" s="1" t="s">
        <v>312</v>
      </c>
      <c r="C324" s="1" t="s">
        <v>734</v>
      </c>
      <c r="D324" s="1" t="s">
        <v>2208</v>
      </c>
      <c r="E324" s="1" t="e">
        <f>VLOOKUP(Table1[[#This Row],[Navn DK]],product_nodes_new_id!A:B,2,FALSE)</f>
        <v>#N/A</v>
      </c>
      <c r="F324" s="1">
        <v>57.144039949825597</v>
      </c>
      <c r="G324" s="1">
        <v>3.03935040778808</v>
      </c>
      <c r="H324" s="1">
        <v>0.52803105889340696</v>
      </c>
      <c r="I324" s="1">
        <v>-0.88821474835307601</v>
      </c>
      <c r="J324" s="1">
        <v>1</v>
      </c>
      <c r="K324" s="1" t="s">
        <v>1272</v>
      </c>
      <c r="L324" s="1">
        <v>30</v>
      </c>
      <c r="M324" s="1" t="s">
        <v>23</v>
      </c>
      <c r="N324" s="3" t="s">
        <v>735</v>
      </c>
      <c r="O324" s="1"/>
    </row>
    <row r="325" spans="1:15" x14ac:dyDescent="0.25">
      <c r="A325" s="2" t="s">
        <v>763</v>
      </c>
      <c r="B325" s="1" t="s">
        <v>312</v>
      </c>
      <c r="C325" s="1" t="s">
        <v>764</v>
      </c>
      <c r="D325" s="1" t="s">
        <v>2209</v>
      </c>
      <c r="E325" s="1" t="e">
        <f>VLOOKUP(Table1[[#This Row],[Navn DK]],product_nodes_new_id!A:B,2,FALSE)</f>
        <v>#N/A</v>
      </c>
      <c r="F325" s="1">
        <v>22.449887393284602</v>
      </c>
      <c r="G325" s="1">
        <v>9.1316144574620601</v>
      </c>
      <c r="H325" s="1">
        <v>0</v>
      </c>
      <c r="I325" s="1">
        <v>-9.1212522498350506</v>
      </c>
      <c r="J325" s="1">
        <v>1</v>
      </c>
      <c r="K325" s="1" t="s">
        <v>1272</v>
      </c>
      <c r="L325" s="1">
        <v>6.24</v>
      </c>
      <c r="M325" s="1" t="s">
        <v>23</v>
      </c>
      <c r="N325" s="3" t="s">
        <v>1219</v>
      </c>
      <c r="O325" s="1"/>
    </row>
    <row r="326" spans="1:15" x14ac:dyDescent="0.25">
      <c r="A326" s="2" t="s">
        <v>895</v>
      </c>
      <c r="B326" s="1" t="s">
        <v>312</v>
      </c>
      <c r="C326" s="1" t="s">
        <v>896</v>
      </c>
      <c r="D326" s="1" t="s">
        <v>1935</v>
      </c>
      <c r="E326" s="1" t="str">
        <f>VLOOKUP(Table1[[#This Row],[Navn DK]],product_nodes_new_id!A:B,2,FALSE)</f>
        <v>ebc41d1f-8644-537c-b44f-82efd38285cf</v>
      </c>
      <c r="F326" s="1">
        <v>12873.633038440001</v>
      </c>
      <c r="G326" s="1">
        <v>81.448796725932596</v>
      </c>
      <c r="H326" s="1">
        <v>14.2841887774985</v>
      </c>
      <c r="I326" s="1">
        <v>-4376.3241808255298</v>
      </c>
      <c r="J326" s="1">
        <v>1</v>
      </c>
      <c r="K326" s="1" t="s">
        <v>119</v>
      </c>
      <c r="L326" s="1">
        <v>4076</v>
      </c>
      <c r="M326" s="1" t="s">
        <v>120</v>
      </c>
      <c r="N326" s="3" t="s">
        <v>897</v>
      </c>
      <c r="O326" s="1"/>
    </row>
    <row r="327" spans="1:15" x14ac:dyDescent="0.25">
      <c r="A327" s="2" t="s">
        <v>883</v>
      </c>
      <c r="B327" s="1" t="s">
        <v>312</v>
      </c>
      <c r="C327" s="1" t="s">
        <v>884</v>
      </c>
      <c r="D327" s="1" t="s">
        <v>1937</v>
      </c>
      <c r="E327" s="1" t="str">
        <f>VLOOKUP(Table1[[#This Row],[Navn DK]],product_nodes_new_id!A:B,2,FALSE)</f>
        <v>58547c87-1434-5b92-9598-374327299060</v>
      </c>
      <c r="F327" s="1">
        <v>2602.9102160012199</v>
      </c>
      <c r="G327" s="1">
        <v>25.011963728405899</v>
      </c>
      <c r="H327" s="1">
        <v>2.4864498593708602</v>
      </c>
      <c r="I327" s="1">
        <v>-971.92272408508904</v>
      </c>
      <c r="J327" s="1">
        <v>1</v>
      </c>
      <c r="K327" s="1" t="s">
        <v>119</v>
      </c>
      <c r="L327" s="1">
        <v>800</v>
      </c>
      <c r="M327" s="1" t="s">
        <v>120</v>
      </c>
      <c r="N327" s="3" t="s">
        <v>885</v>
      </c>
      <c r="O327" s="1"/>
    </row>
    <row r="328" spans="1:15" x14ac:dyDescent="0.25">
      <c r="A328" s="2" t="s">
        <v>1095</v>
      </c>
      <c r="B328" s="1" t="s">
        <v>1093</v>
      </c>
      <c r="C328" s="1" t="s">
        <v>21</v>
      </c>
      <c r="D328" s="1" t="s">
        <v>1096</v>
      </c>
      <c r="E328" s="1" t="e">
        <f>VLOOKUP(Table1[[#This Row],[Navn DK]],product_nodes_new_id!A:B,2,FALSE)</f>
        <v>#N/A</v>
      </c>
      <c r="F328" s="1">
        <v>4.5999999999999999E-2</v>
      </c>
      <c r="G328" s="1">
        <v>5.3999999999999999E-2</v>
      </c>
      <c r="H328" s="1">
        <v>0</v>
      </c>
      <c r="I328" s="1">
        <v>-0.04</v>
      </c>
      <c r="J328" s="1"/>
      <c r="K328" s="1"/>
      <c r="L328" s="16">
        <v>0.58482076384344395</v>
      </c>
      <c r="M328" s="1" t="s">
        <v>23</v>
      </c>
      <c r="N328" s="3" t="s">
        <v>1094</v>
      </c>
      <c r="O328" s="1"/>
    </row>
    <row r="329" spans="1:15" x14ac:dyDescent="0.25">
      <c r="A329" s="2" t="s">
        <v>1097</v>
      </c>
      <c r="B329" s="1" t="s">
        <v>1093</v>
      </c>
      <c r="C329" s="1" t="s">
        <v>21</v>
      </c>
      <c r="D329" s="1" t="s">
        <v>1098</v>
      </c>
      <c r="E329" s="1" t="e">
        <f>VLOOKUP(Table1[[#This Row],[Navn DK]],product_nodes_new_id!A:B,2,FALSE)</f>
        <v>#N/A</v>
      </c>
      <c r="F329" s="1">
        <v>2.4E-2</v>
      </c>
      <c r="G329" s="1">
        <v>1.6E-2</v>
      </c>
      <c r="H329" s="1">
        <v>0</v>
      </c>
      <c r="I329" s="1">
        <v>-5.0000000000000001E-3</v>
      </c>
      <c r="J329" s="1"/>
      <c r="K329" s="1"/>
      <c r="L329" s="16">
        <v>0.22651481477548721</v>
      </c>
      <c r="M329" s="1" t="s">
        <v>23</v>
      </c>
      <c r="N329" s="3" t="s">
        <v>1094</v>
      </c>
      <c r="O329" s="1"/>
    </row>
    <row r="330" spans="1:15" x14ac:dyDescent="0.25">
      <c r="A330" s="2" t="s">
        <v>1099</v>
      </c>
      <c r="B330" s="1" t="s">
        <v>1093</v>
      </c>
      <c r="C330" s="1" t="s">
        <v>21</v>
      </c>
      <c r="D330" s="1" t="s">
        <v>1100</v>
      </c>
      <c r="E330" s="1" t="e">
        <f>VLOOKUP(Table1[[#This Row],[Navn DK]],product_nodes_new_id!A:B,2,FALSE)</f>
        <v>#N/A</v>
      </c>
      <c r="F330" s="1">
        <v>0.376</v>
      </c>
      <c r="G330" s="1">
        <v>0.112</v>
      </c>
      <c r="H330" s="1">
        <v>0</v>
      </c>
      <c r="I330" s="1">
        <v>-0.23</v>
      </c>
      <c r="J330" s="1"/>
      <c r="K330" s="1"/>
      <c r="L330" s="16">
        <v>2.9029578284068496</v>
      </c>
      <c r="M330" s="1" t="s">
        <v>23</v>
      </c>
      <c r="N330" s="3" t="s">
        <v>1094</v>
      </c>
      <c r="O330" s="1"/>
    </row>
    <row r="331" spans="1:15" x14ac:dyDescent="0.25">
      <c r="A331" s="2" t="s">
        <v>939</v>
      </c>
      <c r="B331" s="1" t="s">
        <v>312</v>
      </c>
      <c r="C331" s="1" t="s">
        <v>940</v>
      </c>
      <c r="D331" s="1" t="s">
        <v>2210</v>
      </c>
      <c r="E331" s="1" t="e">
        <f>VLOOKUP(Table1[[#This Row],[Navn DK]],product_nodes_new_id!A:B,2,FALSE)</f>
        <v>#N/A</v>
      </c>
      <c r="F331" s="1">
        <v>359.78527495671898</v>
      </c>
      <c r="G331" s="1">
        <v>0</v>
      </c>
      <c r="H331" s="1">
        <v>0</v>
      </c>
      <c r="I331" s="1">
        <v>0</v>
      </c>
      <c r="J331" s="1">
        <v>1</v>
      </c>
      <c r="K331" s="1" t="s">
        <v>119</v>
      </c>
      <c r="L331" s="1">
        <v>141</v>
      </c>
      <c r="M331" s="1" t="s">
        <v>120</v>
      </c>
      <c r="N331" s="3" t="s">
        <v>941</v>
      </c>
      <c r="O331" s="1"/>
    </row>
    <row r="332" spans="1:15" x14ac:dyDescent="0.25">
      <c r="A332" s="2" t="s">
        <v>979</v>
      </c>
      <c r="B332" s="1" t="s">
        <v>312</v>
      </c>
      <c r="C332" s="1" t="s">
        <v>980</v>
      </c>
      <c r="D332" s="1" t="s">
        <v>2211</v>
      </c>
      <c r="E332" s="1" t="e">
        <f>VLOOKUP(Table1[[#This Row],[Navn DK]],product_nodes_new_id!A:B,2,FALSE)</f>
        <v>#N/A</v>
      </c>
      <c r="F332" s="1">
        <v>719.57054991343796</v>
      </c>
      <c r="G332" s="1">
        <v>0</v>
      </c>
      <c r="H332" s="1">
        <v>0</v>
      </c>
      <c r="I332" s="1">
        <v>0</v>
      </c>
      <c r="J332" s="1">
        <v>1</v>
      </c>
      <c r="K332" s="1" t="s">
        <v>119</v>
      </c>
      <c r="L332" s="1">
        <v>282</v>
      </c>
      <c r="M332" s="1" t="s">
        <v>120</v>
      </c>
      <c r="N332" s="3" t="s">
        <v>981</v>
      </c>
      <c r="O332" s="1"/>
    </row>
    <row r="333" spans="1:15" x14ac:dyDescent="0.25">
      <c r="A333" s="2" t="s">
        <v>1045</v>
      </c>
      <c r="B333" s="1" t="s">
        <v>312</v>
      </c>
      <c r="C333" s="1" t="s">
        <v>1046</v>
      </c>
      <c r="D333" s="1" t="s">
        <v>1047</v>
      </c>
      <c r="E333" s="1" t="e">
        <f>VLOOKUP(Table1[[#This Row],[Navn DK]],product_nodes_new_id!A:B,2,FALSE)</f>
        <v>#N/A</v>
      </c>
      <c r="F333" s="1">
        <v>2518.49692469703</v>
      </c>
      <c r="G333" s="1">
        <v>0</v>
      </c>
      <c r="H333" s="1">
        <v>0</v>
      </c>
      <c r="I333" s="1">
        <v>0</v>
      </c>
      <c r="J333" s="1">
        <v>1</v>
      </c>
      <c r="K333" s="1" t="s">
        <v>119</v>
      </c>
      <c r="L333" s="1">
        <v>987</v>
      </c>
      <c r="M333" s="1" t="s">
        <v>120</v>
      </c>
      <c r="N333" s="3" t="s">
        <v>1048</v>
      </c>
      <c r="O333" s="1"/>
    </row>
    <row r="334" spans="1:15" x14ac:dyDescent="0.25">
      <c r="A334" s="2" t="s">
        <v>960</v>
      </c>
      <c r="B334" s="1" t="s">
        <v>312</v>
      </c>
      <c r="C334" s="1" t="s">
        <v>961</v>
      </c>
      <c r="D334" s="1" t="s">
        <v>2212</v>
      </c>
      <c r="E334" s="1" t="e">
        <f>VLOOKUP(Table1[[#This Row],[Navn DK]],product_nodes_new_id!A:B,2,FALSE)</f>
        <v>#N/A</v>
      </c>
      <c r="F334" s="1">
        <v>595.82832248424802</v>
      </c>
      <c r="G334" s="1">
        <v>0</v>
      </c>
      <c r="H334" s="1">
        <v>0</v>
      </c>
      <c r="I334" s="1">
        <v>0</v>
      </c>
      <c r="J334" s="1">
        <v>1</v>
      </c>
      <c r="K334" s="1" t="s">
        <v>119</v>
      </c>
      <c r="L334" s="1">
        <v>188.8</v>
      </c>
      <c r="M334" s="1" t="s">
        <v>120</v>
      </c>
      <c r="N334" s="3" t="s">
        <v>962</v>
      </c>
      <c r="O334" s="1"/>
    </row>
    <row r="335" spans="1:15" x14ac:dyDescent="0.25">
      <c r="A335" s="2" t="s">
        <v>1018</v>
      </c>
      <c r="B335" s="1" t="s">
        <v>312</v>
      </c>
      <c r="C335" s="1" t="s">
        <v>1019</v>
      </c>
      <c r="D335" s="1" t="s">
        <v>2213</v>
      </c>
      <c r="E335" s="1" t="e">
        <f>VLOOKUP(Table1[[#This Row],[Navn DK]],product_nodes_new_id!A:B,2,FALSE)</f>
        <v>#N/A</v>
      </c>
      <c r="F335" s="1">
        <v>1749.2099382020299</v>
      </c>
      <c r="G335" s="1">
        <v>0</v>
      </c>
      <c r="H335" s="1">
        <v>0</v>
      </c>
      <c r="I335" s="1">
        <v>0</v>
      </c>
      <c r="J335" s="1">
        <v>1</v>
      </c>
      <c r="K335" s="1" t="s">
        <v>119</v>
      </c>
      <c r="L335" s="1">
        <v>551.5</v>
      </c>
      <c r="M335" s="1" t="s">
        <v>120</v>
      </c>
      <c r="N335" s="3" t="s">
        <v>1020</v>
      </c>
      <c r="O335" s="1"/>
    </row>
    <row r="336" spans="1:15" x14ac:dyDescent="0.25">
      <c r="A336" s="2" t="s">
        <v>954</v>
      </c>
      <c r="B336" s="1" t="s">
        <v>312</v>
      </c>
      <c r="C336" s="1" t="s">
        <v>955</v>
      </c>
      <c r="D336" s="1" t="s">
        <v>2214</v>
      </c>
      <c r="E336" s="1" t="e">
        <f>VLOOKUP(Table1[[#This Row],[Navn DK]],product_nodes_new_id!A:B,2,FALSE)</f>
        <v>#N/A</v>
      </c>
      <c r="F336" s="1">
        <v>5843.4581370903397</v>
      </c>
      <c r="G336" s="1">
        <v>0</v>
      </c>
      <c r="H336" s="1">
        <v>0</v>
      </c>
      <c r="I336" s="1">
        <v>0</v>
      </c>
      <c r="J336" s="1">
        <v>1</v>
      </c>
      <c r="K336" s="1" t="s">
        <v>119</v>
      </c>
      <c r="L336" s="1">
        <v>1843.4</v>
      </c>
      <c r="M336" s="1" t="s">
        <v>120</v>
      </c>
      <c r="N336" s="3" t="s">
        <v>956</v>
      </c>
      <c r="O336" s="1"/>
    </row>
    <row r="337" spans="1:15" x14ac:dyDescent="0.25">
      <c r="A337" s="2" t="s">
        <v>990</v>
      </c>
      <c r="B337" s="1" t="s">
        <v>312</v>
      </c>
      <c r="C337" s="1" t="s">
        <v>991</v>
      </c>
      <c r="D337" s="1" t="s">
        <v>1952</v>
      </c>
      <c r="E337" s="1" t="str">
        <f>VLOOKUP(Table1[[#This Row],[Navn DK]],product_nodes_new_id!A:B,2,FALSE)</f>
        <v>485b1080-024f-527a-869f-8f8c5ce6227d</v>
      </c>
      <c r="F337" s="1">
        <v>133.270717149251</v>
      </c>
      <c r="G337" s="1">
        <v>0</v>
      </c>
      <c r="H337" s="1">
        <v>1.5840931766802201E-2</v>
      </c>
      <c r="I337" s="1">
        <v>-23.374686472828699</v>
      </c>
      <c r="J337" s="1">
        <v>1</v>
      </c>
      <c r="K337" s="1" t="s">
        <v>119</v>
      </c>
      <c r="L337" s="1">
        <v>33</v>
      </c>
      <c r="M337" s="1" t="s">
        <v>120</v>
      </c>
      <c r="N337" s="3" t="s">
        <v>992</v>
      </c>
      <c r="O337" s="1"/>
    </row>
    <row r="338" spans="1:15" x14ac:dyDescent="0.25">
      <c r="A338" s="2" t="s">
        <v>1009</v>
      </c>
      <c r="B338" s="1" t="s">
        <v>312</v>
      </c>
      <c r="C338" s="1" t="s">
        <v>1010</v>
      </c>
      <c r="D338" s="1" t="s">
        <v>1954</v>
      </c>
      <c r="E338" s="1" t="str">
        <f>VLOOKUP(Table1[[#This Row],[Navn DK]],product_nodes_new_id!A:B,2,FALSE)</f>
        <v>bb44e13d-889d-5a29-a6ca-71545c5bc788</v>
      </c>
      <c r="F338" s="1">
        <v>171.54574639996599</v>
      </c>
      <c r="G338" s="1">
        <v>0</v>
      </c>
      <c r="H338" s="1">
        <v>1.5840931766802201E-2</v>
      </c>
      <c r="I338" s="1">
        <v>-23.374686472828699</v>
      </c>
      <c r="J338" s="1">
        <v>1</v>
      </c>
      <c r="K338" s="1" t="s">
        <v>119</v>
      </c>
      <c r="L338" s="1">
        <v>48</v>
      </c>
      <c r="M338" s="1" t="s">
        <v>120</v>
      </c>
      <c r="N338" s="3" t="s">
        <v>1011</v>
      </c>
      <c r="O338" s="1"/>
    </row>
    <row r="339" spans="1:15" x14ac:dyDescent="0.25">
      <c r="A339" s="2" t="s">
        <v>924</v>
      </c>
      <c r="B339" s="1" t="s">
        <v>312</v>
      </c>
      <c r="C339" s="1" t="s">
        <v>925</v>
      </c>
      <c r="D339" s="1" t="s">
        <v>1956</v>
      </c>
      <c r="E339" s="1" t="str">
        <f>VLOOKUP(Table1[[#This Row],[Navn DK]],product_nodes_new_id!A:B,2,FALSE)</f>
        <v>05bc582f-6730-5bfd-8ee5-76daa1fdc645</v>
      </c>
      <c r="F339" s="1">
        <v>410.68169585803298</v>
      </c>
      <c r="G339" s="1">
        <v>0</v>
      </c>
      <c r="H339" s="1">
        <v>1.5840931766802201E-2</v>
      </c>
      <c r="I339" s="1">
        <v>-23.374686472828699</v>
      </c>
      <c r="J339" s="1">
        <v>1</v>
      </c>
      <c r="K339" s="1" t="s">
        <v>119</v>
      </c>
      <c r="L339" s="1">
        <v>123</v>
      </c>
      <c r="M339" s="1" t="s">
        <v>120</v>
      </c>
      <c r="N339" s="3" t="s">
        <v>926</v>
      </c>
      <c r="O339" s="1"/>
    </row>
    <row r="340" spans="1:15" x14ac:dyDescent="0.25">
      <c r="A340" s="2" t="s">
        <v>1068</v>
      </c>
      <c r="B340" s="1" t="s">
        <v>312</v>
      </c>
      <c r="C340" s="1" t="s">
        <v>1069</v>
      </c>
      <c r="D340" s="1" t="s">
        <v>1958</v>
      </c>
      <c r="E340" s="1" t="str">
        <f>VLOOKUP(Table1[[#This Row],[Navn DK]],product_nodes_new_id!A:B,2,FALSE)</f>
        <v>67833929-5030-56fb-99c9-343f86df0ef3</v>
      </c>
      <c r="F340" s="1">
        <v>4.3514635595202398</v>
      </c>
      <c r="G340" s="1">
        <v>2.55145983875583</v>
      </c>
      <c r="H340" s="1">
        <v>0</v>
      </c>
      <c r="I340" s="1">
        <v>-1.14384085338212</v>
      </c>
      <c r="J340" s="1">
        <v>1</v>
      </c>
      <c r="K340" s="1" t="s">
        <v>16</v>
      </c>
      <c r="L340" s="1">
        <v>1050</v>
      </c>
      <c r="M340" s="1" t="s">
        <v>65</v>
      </c>
      <c r="N340" s="3" t="s">
        <v>1070</v>
      </c>
      <c r="O340" s="1"/>
    </row>
    <row r="341" spans="1:15" x14ac:dyDescent="0.25">
      <c r="A341" s="2" t="s">
        <v>320</v>
      </c>
      <c r="B341" s="1" t="s">
        <v>312</v>
      </c>
      <c r="C341" s="1" t="s">
        <v>321</v>
      </c>
      <c r="D341" s="1" t="s">
        <v>1960</v>
      </c>
      <c r="E341" s="1" t="str">
        <f>VLOOKUP(Table1[[#This Row],[Navn DK]],product_nodes_new_id!A:B,2,FALSE)</f>
        <v>d1427bbd-e2a8-5e53-ba85-16ac2458afef</v>
      </c>
      <c r="F341" s="1">
        <v>2.5945411583266198</v>
      </c>
      <c r="G341" s="1">
        <v>2.2829036143655101</v>
      </c>
      <c r="H341" s="1">
        <v>0</v>
      </c>
      <c r="I341" s="1">
        <v>-0.55814317247783796</v>
      </c>
      <c r="J341" s="1">
        <v>1</v>
      </c>
      <c r="K341" s="1" t="s">
        <v>16</v>
      </c>
      <c r="L341" s="1">
        <v>1</v>
      </c>
      <c r="M341" s="1" t="s">
        <v>17</v>
      </c>
      <c r="N341" s="3" t="s">
        <v>322</v>
      </c>
      <c r="O341" s="1"/>
    </row>
    <row r="342" spans="1:15" x14ac:dyDescent="0.25">
      <c r="A342" s="2" t="s">
        <v>384</v>
      </c>
      <c r="B342" s="1" t="s">
        <v>312</v>
      </c>
      <c r="C342" s="1" t="s">
        <v>385</v>
      </c>
      <c r="D342" s="1" t="s">
        <v>1966</v>
      </c>
      <c r="E342" s="1" t="str">
        <f>VLOOKUP(Table1[[#This Row],[Navn DK]],product_nodes_new_id!A:B,2,FALSE)</f>
        <v>1849b424-c333-505c-a287-32f8b29b9349</v>
      </c>
      <c r="F342" s="1">
        <v>2.4971155622970298</v>
      </c>
      <c r="G342" s="1">
        <v>3.4523162494917599</v>
      </c>
      <c r="H342" s="1">
        <v>0</v>
      </c>
      <c r="I342" s="1">
        <v>-1.42676773564548</v>
      </c>
      <c r="J342" s="1">
        <v>1</v>
      </c>
      <c r="K342" s="1" t="s">
        <v>16</v>
      </c>
      <c r="L342" s="1">
        <v>1</v>
      </c>
      <c r="M342" s="1" t="s">
        <v>17</v>
      </c>
      <c r="N342" s="3" t="s">
        <v>386</v>
      </c>
      <c r="O342" s="1"/>
    </row>
    <row r="343" spans="1:15" x14ac:dyDescent="0.25">
      <c r="A343" s="2" t="s">
        <v>450</v>
      </c>
      <c r="B343" s="1" t="s">
        <v>312</v>
      </c>
      <c r="C343" s="1" t="s">
        <v>321</v>
      </c>
      <c r="D343" s="1" t="s">
        <v>1968</v>
      </c>
      <c r="E343" s="1" t="str">
        <f>VLOOKUP(Table1[[#This Row],[Navn DK]],product_nodes_new_id!A:B,2,FALSE)</f>
        <v>a87d5ce7-5557-5953-9b9a-addfee0c233d</v>
      </c>
      <c r="F343" s="1">
        <v>2.5945411583266198</v>
      </c>
      <c r="G343" s="1">
        <v>2.2829036143655101</v>
      </c>
      <c r="H343" s="1">
        <v>0</v>
      </c>
      <c r="I343" s="1">
        <v>-0.55814317247783796</v>
      </c>
      <c r="J343" s="1">
        <v>1</v>
      </c>
      <c r="K343" s="1" t="s">
        <v>16</v>
      </c>
      <c r="L343" s="1">
        <v>1</v>
      </c>
      <c r="M343" s="1" t="s">
        <v>17</v>
      </c>
      <c r="N343" s="3" t="s">
        <v>322</v>
      </c>
      <c r="O343" s="1"/>
    </row>
    <row r="344" spans="1:15" x14ac:dyDescent="0.25">
      <c r="A344" s="2" t="s">
        <v>369</v>
      </c>
      <c r="B344" s="1" t="s">
        <v>312</v>
      </c>
      <c r="C344" s="1" t="s">
        <v>370</v>
      </c>
      <c r="D344" s="1" t="s">
        <v>1974</v>
      </c>
      <c r="E344" s="1" t="str">
        <f>VLOOKUP(Table1[[#This Row],[Navn DK]],product_nodes_new_id!A:B,2,FALSE)</f>
        <v>9279a6dd-6fac-514f-b5cb-42932241e771</v>
      </c>
      <c r="F344" s="1">
        <v>2.4971155622970298</v>
      </c>
      <c r="G344" s="1">
        <v>3.2202060623463402</v>
      </c>
      <c r="H344" s="1">
        <v>1.6092731618195201E-3</v>
      </c>
      <c r="I344" s="1">
        <v>-1.22293041494354</v>
      </c>
      <c r="J344" s="1">
        <v>1</v>
      </c>
      <c r="K344" s="1" t="s">
        <v>16</v>
      </c>
      <c r="L344" s="1">
        <v>1</v>
      </c>
      <c r="M344" s="1" t="s">
        <v>17</v>
      </c>
      <c r="N344" s="3" t="s">
        <v>1128</v>
      </c>
      <c r="O344" s="1"/>
    </row>
    <row r="345" spans="1:15" x14ac:dyDescent="0.25">
      <c r="A345" s="2" t="s">
        <v>451</v>
      </c>
      <c r="B345" s="1" t="s">
        <v>312</v>
      </c>
      <c r="C345" s="1" t="s">
        <v>452</v>
      </c>
      <c r="D345" s="1" t="s">
        <v>1970</v>
      </c>
      <c r="E345" s="1" t="str">
        <f>VLOOKUP(Table1[[#This Row],[Navn DK]],product_nodes_new_id!A:B,2,FALSE)</f>
        <v>a58cf4e2-563c-5fe6-8cf4-4dd856e571ce</v>
      </c>
      <c r="F345" s="1">
        <v>2.2439158444079901</v>
      </c>
      <c r="G345" s="1">
        <v>2.2829036143655101</v>
      </c>
      <c r="H345" s="1">
        <v>0</v>
      </c>
      <c r="I345" s="1">
        <v>-0.55814317247783796</v>
      </c>
      <c r="J345" s="1">
        <v>1</v>
      </c>
      <c r="K345" s="1" t="s">
        <v>16</v>
      </c>
      <c r="L345" s="1">
        <v>1</v>
      </c>
      <c r="M345" s="1" t="s">
        <v>17</v>
      </c>
      <c r="N345" s="3" t="s">
        <v>1152</v>
      </c>
      <c r="O345" s="1"/>
    </row>
    <row r="346" spans="1:15" x14ac:dyDescent="0.25">
      <c r="A346" s="2" t="s">
        <v>424</v>
      </c>
      <c r="B346" s="1" t="s">
        <v>312</v>
      </c>
      <c r="C346" s="1" t="s">
        <v>425</v>
      </c>
      <c r="D346" s="1" t="s">
        <v>2215</v>
      </c>
      <c r="E346" s="1" t="e">
        <f>VLOOKUP(Table1[[#This Row],[Navn DK]],product_nodes_new_id!A:B,2,FALSE)</f>
        <v>#N/A</v>
      </c>
      <c r="F346" s="1">
        <v>1.6325063759187901</v>
      </c>
      <c r="G346" s="1">
        <v>0</v>
      </c>
      <c r="H346" s="1">
        <v>0</v>
      </c>
      <c r="I346" s="1">
        <v>2.39609650286789E-2</v>
      </c>
      <c r="J346" s="1">
        <v>1</v>
      </c>
      <c r="K346" s="1" t="s">
        <v>16</v>
      </c>
      <c r="L346" s="1">
        <v>1</v>
      </c>
      <c r="M346" s="1" t="s">
        <v>17</v>
      </c>
      <c r="N346" s="3" t="s">
        <v>1145</v>
      </c>
      <c r="O346" s="1"/>
    </row>
    <row r="347" spans="1:15" x14ac:dyDescent="0.25">
      <c r="A347" s="2" t="s">
        <v>509</v>
      </c>
      <c r="B347" s="1" t="s">
        <v>312</v>
      </c>
      <c r="C347" s="1" t="s">
        <v>510</v>
      </c>
      <c r="D347" s="1" t="s">
        <v>1976</v>
      </c>
      <c r="E347" s="1" t="str">
        <f>VLOOKUP(Table1[[#This Row],[Navn DK]],product_nodes_new_id!A:B,2,FALSE)</f>
        <v>ceba2c85-4621-52a1-824e-3237ee5ffec9</v>
      </c>
      <c r="F347" s="1">
        <v>2.6195453178976002E-3</v>
      </c>
      <c r="G347" s="1">
        <v>6.7659246166958103E-3</v>
      </c>
      <c r="H347" s="1">
        <v>0</v>
      </c>
      <c r="I347" s="1">
        <v>-1.5746196289599199E-3</v>
      </c>
      <c r="J347" s="1">
        <v>1</v>
      </c>
      <c r="K347" s="1" t="s">
        <v>16</v>
      </c>
      <c r="L347" s="1">
        <v>1350</v>
      </c>
      <c r="M347" s="1" t="s">
        <v>65</v>
      </c>
      <c r="N347" s="3" t="s">
        <v>1175</v>
      </c>
      <c r="O347" s="1"/>
    </row>
    <row r="348" spans="1:15" x14ac:dyDescent="0.25">
      <c r="A348" s="2" t="s">
        <v>351</v>
      </c>
      <c r="B348" s="1" t="s">
        <v>312</v>
      </c>
      <c r="C348" s="1" t="s">
        <v>352</v>
      </c>
      <c r="D348" s="1" t="s">
        <v>1978</v>
      </c>
      <c r="E348" s="1" t="str">
        <f>VLOOKUP(Table1[[#This Row],[Navn DK]],product_nodes_new_id!A:B,2,FALSE)</f>
        <v>a85fb518-b2ff-5c16-abd1-b18b4296aaf3</v>
      </c>
      <c r="F348" s="1">
        <v>3.2837115249705603E-2</v>
      </c>
      <c r="G348" s="1">
        <v>7.3919647003698402E-3</v>
      </c>
      <c r="H348" s="1">
        <v>0</v>
      </c>
      <c r="I348" s="1">
        <v>-1.44323090284462E-3</v>
      </c>
      <c r="J348" s="1">
        <v>1</v>
      </c>
      <c r="K348" s="1" t="s">
        <v>16</v>
      </c>
      <c r="L348" s="1">
        <v>1350</v>
      </c>
      <c r="M348" s="1" t="s">
        <v>65</v>
      </c>
      <c r="N348" s="3" t="s">
        <v>353</v>
      </c>
      <c r="O348" s="1"/>
    </row>
    <row r="349" spans="1:15" x14ac:dyDescent="0.25">
      <c r="A349" s="2" t="s">
        <v>527</v>
      </c>
      <c r="B349" s="1" t="s">
        <v>312</v>
      </c>
      <c r="C349" s="1" t="s">
        <v>528</v>
      </c>
      <c r="D349" s="1" t="s">
        <v>1980</v>
      </c>
      <c r="E349" s="1" t="str">
        <f>VLOOKUP(Table1[[#This Row],[Navn DK]],product_nodes_new_id!A:B,2,FALSE)</f>
        <v>23edf810-6e95-50b7-8390-c21baae4f7aa</v>
      </c>
      <c r="F349" s="1">
        <v>2.73184277721275E-2</v>
      </c>
      <c r="G349" s="1">
        <v>6.7659246166958103E-3</v>
      </c>
      <c r="H349" s="1">
        <v>0</v>
      </c>
      <c r="I349" s="1">
        <v>-1.5746196289599199E-3</v>
      </c>
      <c r="J349" s="1">
        <v>1</v>
      </c>
      <c r="K349" s="1" t="s">
        <v>16</v>
      </c>
      <c r="L349" s="1">
        <v>1350</v>
      </c>
      <c r="M349" s="1" t="s">
        <v>65</v>
      </c>
      <c r="N349" s="3" t="s">
        <v>1182</v>
      </c>
      <c r="O349" s="1"/>
    </row>
    <row r="350" spans="1:15" x14ac:dyDescent="0.25">
      <c r="A350" s="2" t="s">
        <v>280</v>
      </c>
      <c r="B350" s="1" t="s">
        <v>126</v>
      </c>
      <c r="C350" s="1" t="s">
        <v>21</v>
      </c>
      <c r="D350" s="1" t="s">
        <v>281</v>
      </c>
      <c r="E350" s="1" t="e">
        <f>VLOOKUP(Table1[[#This Row],[Navn DK]],product_nodes_new_id!A:B,2,FALSE)</f>
        <v>#N/A</v>
      </c>
      <c r="F350" s="1">
        <v>312.40000000000003</v>
      </c>
      <c r="G350" s="1">
        <v>0</v>
      </c>
      <c r="H350" s="1">
        <v>0</v>
      </c>
      <c r="I350" s="1">
        <v>0</v>
      </c>
      <c r="J350" s="1">
        <v>1</v>
      </c>
      <c r="K350" s="1" t="s">
        <v>282</v>
      </c>
      <c r="L350" s="1">
        <v>1590</v>
      </c>
      <c r="M350" s="1" t="s">
        <v>120</v>
      </c>
      <c r="N350" s="3" t="s">
        <v>128</v>
      </c>
      <c r="O350" s="1"/>
    </row>
    <row r="351" spans="1:15" x14ac:dyDescent="0.25">
      <c r="A351" s="2" t="s">
        <v>58</v>
      </c>
      <c r="B351" s="1" t="s">
        <v>14</v>
      </c>
      <c r="C351" s="1" t="s">
        <v>21</v>
      </c>
      <c r="D351" s="1" t="s">
        <v>59</v>
      </c>
      <c r="E351" s="1" t="e">
        <f>VLOOKUP(Table1[[#This Row],[Navn DK]],product_nodes_new_id!A:B,2,FALSE)</f>
        <v>#N/A</v>
      </c>
      <c r="F351" s="1">
        <v>87.3</v>
      </c>
      <c r="G351" s="1">
        <v>1.49</v>
      </c>
      <c r="H351" s="1">
        <v>10.8</v>
      </c>
      <c r="I351" s="1">
        <v>-7.83</v>
      </c>
      <c r="J351" s="1">
        <v>1</v>
      </c>
      <c r="K351" s="1" t="s">
        <v>1272</v>
      </c>
      <c r="L351" s="1">
        <v>495.2</v>
      </c>
      <c r="M351" s="1" t="s">
        <v>23</v>
      </c>
      <c r="N351" s="3" t="s">
        <v>60</v>
      </c>
      <c r="O351" s="1"/>
    </row>
    <row r="352" spans="1:15" x14ac:dyDescent="0.25">
      <c r="A352" s="2" t="s">
        <v>61</v>
      </c>
      <c r="B352" s="1" t="s">
        <v>14</v>
      </c>
      <c r="C352" s="1" t="s">
        <v>21</v>
      </c>
      <c r="D352" s="1" t="s">
        <v>62</v>
      </c>
      <c r="E352" s="1" t="e">
        <f>VLOOKUP(Table1[[#This Row],[Navn DK]],product_nodes_new_id!A:B,2,FALSE)</f>
        <v>#N/A</v>
      </c>
      <c r="F352" s="1">
        <v>90.6</v>
      </c>
      <c r="G352" s="1">
        <v>1.51</v>
      </c>
      <c r="H352" s="1">
        <v>1.25</v>
      </c>
      <c r="I352" s="1">
        <v>-1.21</v>
      </c>
      <c r="J352" s="1">
        <v>1</v>
      </c>
      <c r="K352" s="1" t="s">
        <v>1272</v>
      </c>
      <c r="L352" s="1">
        <v>501.8</v>
      </c>
      <c r="M352" s="1" t="s">
        <v>23</v>
      </c>
      <c r="N352" s="3" t="s">
        <v>60</v>
      </c>
      <c r="O352" s="1"/>
    </row>
    <row r="353" spans="1:15" x14ac:dyDescent="0.25">
      <c r="A353" s="2" t="s">
        <v>343</v>
      </c>
      <c r="B353" s="1" t="s">
        <v>312</v>
      </c>
      <c r="C353" s="1" t="s">
        <v>344</v>
      </c>
      <c r="D353" s="1" t="s">
        <v>1982</v>
      </c>
      <c r="E353" s="1" t="str">
        <f>VLOOKUP(Table1[[#This Row],[Navn DK]],product_nodes_new_id!A:B,2,FALSE)</f>
        <v>e7055fd5-6c3c-524c-b3e4-e921d45d7781</v>
      </c>
      <c r="F353" s="1">
        <v>2.6864015660974601</v>
      </c>
      <c r="G353" s="1">
        <v>0</v>
      </c>
      <c r="H353" s="1">
        <v>1.7601035296446899E-2</v>
      </c>
      <c r="I353" s="1">
        <v>0</v>
      </c>
      <c r="J353" s="1">
        <v>1</v>
      </c>
      <c r="K353" s="1" t="s">
        <v>16</v>
      </c>
      <c r="L353" s="1">
        <v>1</v>
      </c>
      <c r="M353" s="1" t="s">
        <v>17</v>
      </c>
      <c r="N353" s="3" t="s">
        <v>345</v>
      </c>
      <c r="O353" s="1"/>
    </row>
    <row r="354" spans="1:15" x14ac:dyDescent="0.25">
      <c r="A354" s="2" t="s">
        <v>435</v>
      </c>
      <c r="B354" s="1" t="s">
        <v>312</v>
      </c>
      <c r="C354" s="1" t="s">
        <v>436</v>
      </c>
      <c r="D354" s="1" t="s">
        <v>1984</v>
      </c>
      <c r="E354" s="1" t="str">
        <f>VLOOKUP(Table1[[#This Row],[Navn DK]],product_nodes_new_id!A:B,2,FALSE)</f>
        <v>07790411-2ffc-5273-9c50-92c66f4d18bc</v>
      </c>
      <c r="F354" s="1">
        <v>0.58689950324471996</v>
      </c>
      <c r="G354" s="1">
        <v>0</v>
      </c>
      <c r="H354" s="1">
        <v>1.7601035296446899E-2</v>
      </c>
      <c r="I354" s="1">
        <v>0</v>
      </c>
      <c r="J354" s="1">
        <v>1</v>
      </c>
      <c r="K354" s="1" t="s">
        <v>16</v>
      </c>
      <c r="L354" s="1">
        <v>1</v>
      </c>
      <c r="M354" s="1" t="s">
        <v>17</v>
      </c>
      <c r="N354" s="15" t="s">
        <v>1149</v>
      </c>
      <c r="O354" s="1"/>
    </row>
    <row r="355" spans="1:15" x14ac:dyDescent="0.25">
      <c r="A355" s="2" t="s">
        <v>1064</v>
      </c>
      <c r="B355" s="1" t="s">
        <v>312</v>
      </c>
      <c r="C355" s="1" t="s">
        <v>427</v>
      </c>
      <c r="D355" s="1" t="s">
        <v>1986</v>
      </c>
      <c r="E355" s="1" t="str">
        <f>VLOOKUP(Table1[[#This Row],[Navn DK]],product_nodes_new_id!A:B,2,FALSE)</f>
        <v>7b42dc68-6359-53e6-bd80-7895cd9d9dc4</v>
      </c>
      <c r="F355" s="1">
        <v>1.45092127457102</v>
      </c>
      <c r="G355" s="1">
        <v>0</v>
      </c>
      <c r="H355" s="1">
        <v>1.6092731618195199E-2</v>
      </c>
      <c r="I355" s="1">
        <v>-4.0834914026389698E-3</v>
      </c>
      <c r="J355" s="1">
        <v>1</v>
      </c>
      <c r="K355" s="1" t="s">
        <v>16</v>
      </c>
      <c r="L355" s="1">
        <v>1</v>
      </c>
      <c r="M355" s="1" t="s">
        <v>17</v>
      </c>
      <c r="N355" s="3" t="s">
        <v>1146</v>
      </c>
      <c r="O355" s="1"/>
    </row>
    <row r="356" spans="1:15" x14ac:dyDescent="0.25">
      <c r="A356" s="2" t="s">
        <v>525</v>
      </c>
      <c r="B356" s="1" t="s">
        <v>312</v>
      </c>
      <c r="C356" s="1" t="s">
        <v>526</v>
      </c>
      <c r="D356" s="1" t="s">
        <v>1988</v>
      </c>
      <c r="E356" s="1" t="str">
        <f>VLOOKUP(Table1[[#This Row],[Navn DK]],product_nodes_new_id!A:B,2,FALSE)</f>
        <v>aef9da0d-97d4-53ab-ac8e-e39669722ca3</v>
      </c>
      <c r="F356" s="1">
        <v>7.8406899728079207E-3</v>
      </c>
      <c r="G356" s="1">
        <v>6.7659246166958103E-3</v>
      </c>
      <c r="H356" s="1">
        <v>0</v>
      </c>
      <c r="I356" s="1">
        <v>-1.5746196289599199E-3</v>
      </c>
      <c r="J356" s="1">
        <v>1</v>
      </c>
      <c r="K356" s="1" t="s">
        <v>16</v>
      </c>
      <c r="L356" s="1">
        <v>1</v>
      </c>
      <c r="M356" s="1" t="s">
        <v>17</v>
      </c>
      <c r="N356" s="3" t="s">
        <v>1181</v>
      </c>
      <c r="O356" s="1"/>
    </row>
    <row r="357" spans="1:15" x14ac:dyDescent="0.25">
      <c r="A357" s="2" t="s">
        <v>1087</v>
      </c>
      <c r="B357" s="1" t="s">
        <v>312</v>
      </c>
      <c r="C357" s="1" t="s">
        <v>1088</v>
      </c>
      <c r="D357" s="1" t="s">
        <v>1990</v>
      </c>
      <c r="E357" s="1" t="str">
        <f>VLOOKUP(Table1[[#This Row],[Navn DK]],product_nodes_new_id!A:B,2,FALSE)</f>
        <v>59587549-eff9-5cb0-9e3a-f522e5f263c3</v>
      </c>
      <c r="F357" s="1">
        <v>15.3887493282022</v>
      </c>
      <c r="G357" s="1">
        <v>0.202977738500874</v>
      </c>
      <c r="H357" s="1">
        <v>0</v>
      </c>
      <c r="I357" s="1">
        <v>-4.7238588868797698E-2</v>
      </c>
      <c r="J357" s="1">
        <v>1</v>
      </c>
      <c r="K357" s="1" t="s">
        <v>1272</v>
      </c>
      <c r="L357" s="1">
        <v>30</v>
      </c>
      <c r="M357" s="1" t="s">
        <v>23</v>
      </c>
      <c r="N357" s="3" t="s">
        <v>1089</v>
      </c>
      <c r="O357" s="1"/>
    </row>
    <row r="358" spans="1:15" x14ac:dyDescent="0.25">
      <c r="A358" s="2" t="s">
        <v>592</v>
      </c>
      <c r="B358" s="1" t="s">
        <v>312</v>
      </c>
      <c r="C358" s="1" t="s">
        <v>593</v>
      </c>
      <c r="D358" s="1" t="s">
        <v>1992</v>
      </c>
      <c r="E358" s="1" t="str">
        <f>VLOOKUP(Table1[[#This Row],[Navn DK]],product_nodes_new_id!A:B,2,FALSE)</f>
        <v>8f7e4047-4208-5aaf-8ba5-0a61e3665196</v>
      </c>
      <c r="F358" s="1">
        <v>24.7095385737111</v>
      </c>
      <c r="G358" s="1">
        <v>0</v>
      </c>
      <c r="H358" s="1">
        <v>1.73018176964073</v>
      </c>
      <c r="I358" s="1">
        <v>0</v>
      </c>
      <c r="J358" s="1">
        <v>1</v>
      </c>
      <c r="K358" s="1" t="s">
        <v>151</v>
      </c>
      <c r="L358" s="1">
        <v>98.3</v>
      </c>
      <c r="M358" s="1" t="s">
        <v>152</v>
      </c>
      <c r="N358" s="3" t="s">
        <v>594</v>
      </c>
      <c r="O358" s="1"/>
    </row>
    <row r="359" spans="1:15" x14ac:dyDescent="0.25">
      <c r="A359" s="2" t="s">
        <v>572</v>
      </c>
      <c r="B359" s="1" t="s">
        <v>312</v>
      </c>
      <c r="C359" s="1" t="s">
        <v>573</v>
      </c>
      <c r="D359" s="1" t="s">
        <v>1994</v>
      </c>
      <c r="E359" s="1" t="str">
        <f>VLOOKUP(Table1[[#This Row],[Navn DK]],product_nodes_new_id!A:B,2,FALSE)</f>
        <v>4adc3d72-58ee-5258-89f8-4b5b89d02f80</v>
      </c>
      <c r="F359" s="1">
        <v>49.226712886135999</v>
      </c>
      <c r="G359" s="1">
        <v>0</v>
      </c>
      <c r="H359" s="1">
        <v>3.44207606360846</v>
      </c>
      <c r="I359" s="1">
        <v>0</v>
      </c>
      <c r="J359" s="1">
        <v>1</v>
      </c>
      <c r="K359" s="1" t="s">
        <v>151</v>
      </c>
      <c r="L359" s="1">
        <v>195.6</v>
      </c>
      <c r="M359" s="1" t="s">
        <v>152</v>
      </c>
      <c r="N359" s="3" t="s">
        <v>574</v>
      </c>
      <c r="O359" s="1"/>
    </row>
    <row r="360" spans="1:15" x14ac:dyDescent="0.25">
      <c r="A360" s="2" t="s">
        <v>483</v>
      </c>
      <c r="B360" s="1" t="s">
        <v>312</v>
      </c>
      <c r="C360" s="1" t="s">
        <v>484</v>
      </c>
      <c r="D360" s="1" t="s">
        <v>1996</v>
      </c>
      <c r="E360" s="1" t="str">
        <f>VLOOKUP(Table1[[#This Row],[Navn DK]],product_nodes_new_id!A:B,2,FALSE)</f>
        <v>d8da3823-6ec7-5f88-865b-0a4ded55a30e</v>
      </c>
      <c r="F360" s="1">
        <v>4.1932267220294204</v>
      </c>
      <c r="G360" s="1">
        <v>0</v>
      </c>
      <c r="H360" s="1">
        <v>8.8005176482234605E-4</v>
      </c>
      <c r="I360" s="1">
        <v>-1.1778675427615899</v>
      </c>
      <c r="J360" s="1">
        <v>1</v>
      </c>
      <c r="K360" s="1" t="s">
        <v>16</v>
      </c>
      <c r="L360" s="1">
        <v>1</v>
      </c>
      <c r="M360" s="1" t="s">
        <v>17</v>
      </c>
      <c r="N360" s="3" t="s">
        <v>1163</v>
      </c>
      <c r="O360" s="1"/>
    </row>
    <row r="361" spans="1:15" x14ac:dyDescent="0.25">
      <c r="A361" s="2" t="s">
        <v>391</v>
      </c>
      <c r="B361" s="1" t="s">
        <v>312</v>
      </c>
      <c r="C361" s="1" t="s">
        <v>392</v>
      </c>
      <c r="D361" s="1" t="s">
        <v>1998</v>
      </c>
      <c r="E361" s="1" t="str">
        <f>VLOOKUP(Table1[[#This Row],[Navn DK]],product_nodes_new_id!A:B,2,FALSE)</f>
        <v>2a1a0764-6379-5c43-a911-88fa672f0800</v>
      </c>
      <c r="F361" s="1">
        <v>2.4023882942941901</v>
      </c>
      <c r="G361" s="1">
        <v>2.7341241157639198</v>
      </c>
      <c r="H361" s="1">
        <v>1.7601035296446899E-3</v>
      </c>
      <c r="I361" s="1">
        <v>-0.79749235984479405</v>
      </c>
      <c r="J361" s="1">
        <v>1</v>
      </c>
      <c r="K361" s="1" t="s">
        <v>16</v>
      </c>
      <c r="L361" s="1">
        <v>1</v>
      </c>
      <c r="M361" s="1" t="s">
        <v>17</v>
      </c>
      <c r="N361" s="3" t="s">
        <v>1136</v>
      </c>
      <c r="O361" s="1"/>
    </row>
    <row r="362" spans="1:15" x14ac:dyDescent="0.25">
      <c r="A362" s="2" t="s">
        <v>533</v>
      </c>
      <c r="B362" s="1" t="s">
        <v>312</v>
      </c>
      <c r="C362" s="1" t="s">
        <v>534</v>
      </c>
      <c r="D362" s="1" t="s">
        <v>2000</v>
      </c>
      <c r="E362" s="1" t="str">
        <f>VLOOKUP(Table1[[#This Row],[Navn DK]],product_nodes_new_id!A:B,2,FALSE)</f>
        <v>bb0ebd6a-6a6a-58ed-a58a-1bbd6154e6b7</v>
      </c>
      <c r="F362" s="1">
        <v>7.7441423427536293E-2</v>
      </c>
      <c r="G362" s="1">
        <v>0</v>
      </c>
      <c r="H362" s="1">
        <v>0</v>
      </c>
      <c r="I362" s="1">
        <v>-1.70095082391599E-2</v>
      </c>
      <c r="J362" s="1">
        <v>1</v>
      </c>
      <c r="K362" s="1" t="s">
        <v>16</v>
      </c>
      <c r="L362" s="1">
        <v>1</v>
      </c>
      <c r="M362" s="1" t="s">
        <v>17</v>
      </c>
      <c r="N362" s="3" t="s">
        <v>535</v>
      </c>
      <c r="O362" s="1"/>
    </row>
    <row r="363" spans="1:15" x14ac:dyDescent="0.25">
      <c r="A363" s="2" t="s">
        <v>354</v>
      </c>
      <c r="B363" s="1" t="s">
        <v>312</v>
      </c>
      <c r="C363" s="1" t="s">
        <v>355</v>
      </c>
      <c r="D363" s="1" t="s">
        <v>2002</v>
      </c>
      <c r="E363" s="1" t="str">
        <f>VLOOKUP(Table1[[#This Row],[Navn DK]],product_nodes_new_id!A:B,2,FALSE)</f>
        <v>e1bf7c7a-a438-522f-8915-c7f3b3d2706f</v>
      </c>
      <c r="F363" s="1">
        <v>7.8406899728079207E-3</v>
      </c>
      <c r="G363" s="1">
        <v>6.7659246166958103E-3</v>
      </c>
      <c r="H363" s="1">
        <v>0</v>
      </c>
      <c r="I363" s="1">
        <v>-1.5746196289599199E-3</v>
      </c>
      <c r="J363" s="1">
        <v>1</v>
      </c>
      <c r="K363" s="1" t="s">
        <v>16</v>
      </c>
      <c r="L363" s="1">
        <v>1400</v>
      </c>
      <c r="M363" s="1" t="s">
        <v>65</v>
      </c>
      <c r="N363" s="3" t="s">
        <v>1122</v>
      </c>
      <c r="O363" s="1"/>
    </row>
    <row r="364" spans="1:15" x14ac:dyDescent="0.25">
      <c r="A364" s="2" t="s">
        <v>793</v>
      </c>
      <c r="B364" s="1" t="s">
        <v>312</v>
      </c>
      <c r="C364" s="1" t="s">
        <v>794</v>
      </c>
      <c r="D364" s="1" t="s">
        <v>2004</v>
      </c>
      <c r="E364" s="1" t="str">
        <f>VLOOKUP(Table1[[#This Row],[Navn DK]],product_nodes_new_id!A:B,2,FALSE)</f>
        <v>f1229fb2-17fc-59a9-b736-08b9e366c8bb</v>
      </c>
      <c r="F364" s="1">
        <v>356.85271497663501</v>
      </c>
      <c r="G364" s="1">
        <v>10.3487505805178</v>
      </c>
      <c r="H364" s="1">
        <v>0</v>
      </c>
      <c r="I364" s="1">
        <v>-2.0205232639824602</v>
      </c>
      <c r="J364" s="1">
        <v>1</v>
      </c>
      <c r="K364" s="1" t="s">
        <v>1274</v>
      </c>
      <c r="L364" s="1">
        <v>1400</v>
      </c>
      <c r="M364" s="1" t="s">
        <v>65</v>
      </c>
      <c r="N364" s="3" t="s">
        <v>795</v>
      </c>
      <c r="O364" s="1"/>
    </row>
    <row r="365" spans="1:15" x14ac:dyDescent="0.25">
      <c r="A365" s="2" t="s">
        <v>295</v>
      </c>
      <c r="B365" s="1" t="s">
        <v>126</v>
      </c>
      <c r="C365" s="1" t="s">
        <v>21</v>
      </c>
      <c r="D365" s="1" t="s">
        <v>296</v>
      </c>
      <c r="E365" s="1" t="e">
        <f>VLOOKUP(Table1[[#This Row],[Navn DK]],product_nodes_new_id!A:B,2,FALSE)</f>
        <v>#N/A</v>
      </c>
      <c r="F365" s="1">
        <v>-8.9730000000000008</v>
      </c>
      <c r="G365" s="1">
        <v>0</v>
      </c>
      <c r="H365" s="1">
        <v>0</v>
      </c>
      <c r="I365" s="1">
        <v>0</v>
      </c>
      <c r="J365" s="1">
        <v>1</v>
      </c>
      <c r="K365" s="1" t="s">
        <v>283</v>
      </c>
      <c r="L365" s="1">
        <v>2700</v>
      </c>
      <c r="M365" s="1" t="s">
        <v>65</v>
      </c>
      <c r="N365" s="3" t="s">
        <v>128</v>
      </c>
      <c r="O365" s="1"/>
    </row>
    <row r="366" spans="1:15" x14ac:dyDescent="0.25">
      <c r="A366" s="2" t="s">
        <v>433</v>
      </c>
      <c r="B366" s="1" t="s">
        <v>312</v>
      </c>
      <c r="C366" s="1" t="s">
        <v>434</v>
      </c>
      <c r="D366" s="1" t="s">
        <v>2006</v>
      </c>
      <c r="E366" s="1" t="str">
        <f>VLOOKUP(Table1[[#This Row],[Navn DK]],product_nodes_new_id!A:B,2,FALSE)</f>
        <v>b728ab02-e429-5bb9-9c71-8c670192715c</v>
      </c>
      <c r="F366" s="1">
        <v>0</v>
      </c>
      <c r="G366" s="1">
        <v>0</v>
      </c>
      <c r="H366" s="1">
        <v>0</v>
      </c>
      <c r="I366" s="1">
        <v>0</v>
      </c>
      <c r="J366" s="1">
        <v>1</v>
      </c>
      <c r="K366" s="1" t="s">
        <v>16</v>
      </c>
      <c r="L366" s="1">
        <v>1</v>
      </c>
      <c r="M366" s="1" t="s">
        <v>17</v>
      </c>
      <c r="N366" s="3" t="s">
        <v>1148</v>
      </c>
      <c r="O366" s="1"/>
    </row>
    <row r="367" spans="1:15" x14ac:dyDescent="0.25">
      <c r="A367" s="2" t="s">
        <v>640</v>
      </c>
      <c r="B367" s="1" t="s">
        <v>312</v>
      </c>
      <c r="C367" s="1" t="s">
        <v>641</v>
      </c>
      <c r="D367" s="1" t="s">
        <v>2010</v>
      </c>
      <c r="E367" s="1" t="str">
        <f>VLOOKUP(Table1[[#This Row],[Navn DK]],product_nodes_new_id!A:B,2,FALSE)</f>
        <v>4075c8a0-27a7-56ae-8508-ecaf26ed9e2d</v>
      </c>
      <c r="F367" s="1">
        <v>2.4901743700349801</v>
      </c>
      <c r="G367" s="1">
        <v>1.10231269034867</v>
      </c>
      <c r="H367" s="1">
        <v>0</v>
      </c>
      <c r="I367" s="1">
        <v>-0.25791651239035601</v>
      </c>
      <c r="J367" s="1">
        <v>1</v>
      </c>
      <c r="K367" s="1" t="s">
        <v>1272</v>
      </c>
      <c r="L367" s="1">
        <v>0.4</v>
      </c>
      <c r="M367" s="1" t="s">
        <v>23</v>
      </c>
      <c r="N367" s="3" t="s">
        <v>1201</v>
      </c>
      <c r="O367" s="1"/>
    </row>
    <row r="368" spans="1:15" x14ac:dyDescent="0.25">
      <c r="A368" s="2" t="s">
        <v>185</v>
      </c>
      <c r="B368" s="1" t="s">
        <v>126</v>
      </c>
      <c r="C368" s="1" t="s">
        <v>21</v>
      </c>
      <c r="D368" s="1" t="s">
        <v>186</v>
      </c>
      <c r="E368" s="1" t="e">
        <f>VLOOKUP(Table1[[#This Row],[Navn DK]],product_nodes_new_id!A:B,2,FALSE)</f>
        <v>#N/A</v>
      </c>
      <c r="F368" s="1">
        <v>42.68</v>
      </c>
      <c r="G368" s="1">
        <v>0.38059999999999999</v>
      </c>
      <c r="H368" s="1">
        <v>3.4540000000000001E-2</v>
      </c>
      <c r="I368" s="1">
        <v>-14.76</v>
      </c>
      <c r="J368" s="1">
        <v>1</v>
      </c>
      <c r="K368" s="1" t="s">
        <v>1272</v>
      </c>
      <c r="L368" s="1">
        <v>5.4924999999999997</v>
      </c>
      <c r="M368" s="1" t="s">
        <v>23</v>
      </c>
      <c r="N368" s="15" t="s">
        <v>128</v>
      </c>
      <c r="O368" s="1"/>
    </row>
    <row r="369" spans="1:15" x14ac:dyDescent="0.25">
      <c r="A369" s="2" t="s">
        <v>197</v>
      </c>
      <c r="B369" s="1" t="s">
        <v>126</v>
      </c>
      <c r="C369" s="1" t="s">
        <v>21</v>
      </c>
      <c r="D369" s="1" t="s">
        <v>198</v>
      </c>
      <c r="E369" s="1" t="e">
        <f>VLOOKUP(Table1[[#This Row],[Navn DK]],product_nodes_new_id!A:B,2,FALSE)</f>
        <v>#N/A</v>
      </c>
      <c r="F369" s="1">
        <v>174.9</v>
      </c>
      <c r="G369" s="1">
        <v>3.5530000000000004</v>
      </c>
      <c r="H369" s="1">
        <v>7.9530000000000003E-2</v>
      </c>
      <c r="I369" s="1">
        <v>-13.1</v>
      </c>
      <c r="J369" s="1">
        <v>1</v>
      </c>
      <c r="K369" s="1" t="s">
        <v>1272</v>
      </c>
      <c r="L369" s="1">
        <v>19</v>
      </c>
      <c r="M369" s="1" t="s">
        <v>23</v>
      </c>
      <c r="N369" s="15" t="s">
        <v>128</v>
      </c>
      <c r="O369" s="1"/>
    </row>
    <row r="370" spans="1:15" x14ac:dyDescent="0.25">
      <c r="A370" s="2" t="s">
        <v>193</v>
      </c>
      <c r="B370" s="1" t="s">
        <v>126</v>
      </c>
      <c r="C370" s="1" t="s">
        <v>21</v>
      </c>
      <c r="D370" s="1" t="s">
        <v>194</v>
      </c>
      <c r="E370" s="1" t="e">
        <f>VLOOKUP(Table1[[#This Row],[Navn DK]],product_nodes_new_id!A:B,2,FALSE)</f>
        <v>#N/A</v>
      </c>
      <c r="F370" s="1">
        <v>51.691200000000009</v>
      </c>
      <c r="G370" s="1">
        <v>3.8332800000000007</v>
      </c>
      <c r="H370" s="1">
        <v>0</v>
      </c>
      <c r="I370" s="1">
        <v>-15.348960000000002</v>
      </c>
      <c r="J370" s="1">
        <v>1</v>
      </c>
      <c r="K370" s="1" t="s">
        <v>1272</v>
      </c>
      <c r="L370" s="1">
        <v>13.967611336032387</v>
      </c>
      <c r="M370" s="1" t="s">
        <v>23</v>
      </c>
      <c r="N370" s="3" t="s">
        <v>128</v>
      </c>
      <c r="O370" s="1"/>
    </row>
    <row r="371" spans="1:15" x14ac:dyDescent="0.25">
      <c r="A371" s="2" t="s">
        <v>179</v>
      </c>
      <c r="B371" s="1" t="s">
        <v>126</v>
      </c>
      <c r="C371" s="1" t="s">
        <v>21</v>
      </c>
      <c r="D371" s="1" t="s">
        <v>180</v>
      </c>
      <c r="E371" s="1" t="e">
        <f>VLOOKUP(Table1[[#This Row],[Navn DK]],product_nodes_new_id!A:B,2,FALSE)</f>
        <v>#N/A</v>
      </c>
      <c r="F371" s="1">
        <v>14.045900000000001</v>
      </c>
      <c r="G371" s="1">
        <v>2.3539999999999996</v>
      </c>
      <c r="H371" s="1">
        <v>1.6247000000000001E-2</v>
      </c>
      <c r="I371" s="1">
        <v>-2.8412999999999999</v>
      </c>
      <c r="J371" s="1">
        <v>1</v>
      </c>
      <c r="K371" s="1" t="s">
        <v>1272</v>
      </c>
      <c r="L371" s="1">
        <v>2.9948356352044936</v>
      </c>
      <c r="M371" s="1" t="s">
        <v>23</v>
      </c>
      <c r="N371" s="3" t="s">
        <v>128</v>
      </c>
      <c r="O371" s="1"/>
    </row>
    <row r="372" spans="1:15" x14ac:dyDescent="0.25">
      <c r="A372" s="2" t="s">
        <v>694</v>
      </c>
      <c r="B372" s="1" t="s">
        <v>312</v>
      </c>
      <c r="C372" s="1" t="s">
        <v>695</v>
      </c>
      <c r="D372" s="1" t="s">
        <v>2014</v>
      </c>
      <c r="E372" s="1" t="str">
        <f>VLOOKUP(Table1[[#This Row],[Navn DK]],product_nodes_new_id!A:B,2,FALSE)</f>
        <v>4438fb9e-401f-5892-9b18-9bace0624e38</v>
      </c>
      <c r="F372" s="1">
        <v>93.451965630227093</v>
      </c>
      <c r="G372" s="1">
        <v>1.00433492519061</v>
      </c>
      <c r="H372" s="1">
        <v>0.18663081766234499</v>
      </c>
      <c r="I372" s="1">
        <v>-45.628306692651002</v>
      </c>
      <c r="J372" s="1">
        <v>1</v>
      </c>
      <c r="K372" s="1" t="s">
        <v>1272</v>
      </c>
      <c r="L372" s="1">
        <v>18.27</v>
      </c>
      <c r="M372" s="1" t="s">
        <v>23</v>
      </c>
      <c r="N372" s="3" t="s">
        <v>1210</v>
      </c>
      <c r="O372" s="1"/>
    </row>
    <row r="373" spans="1:15" x14ac:dyDescent="0.25">
      <c r="A373" s="2" t="s">
        <v>647</v>
      </c>
      <c r="B373" s="1" t="s">
        <v>312</v>
      </c>
      <c r="C373" s="1" t="s">
        <v>648</v>
      </c>
      <c r="D373" s="1" t="s">
        <v>2016</v>
      </c>
      <c r="E373" s="1" t="str">
        <f>VLOOKUP(Table1[[#This Row],[Navn DK]],product_nodes_new_id!A:B,2,FALSE)</f>
        <v>9c3364a4-8c96-5e74-a5cf-8fe6f78d843e</v>
      </c>
      <c r="F373" s="1">
        <v>89.729775203067604</v>
      </c>
      <c r="G373" s="1">
        <v>2.0202139299811201</v>
      </c>
      <c r="H373" s="1">
        <v>0.341155586840442</v>
      </c>
      <c r="I373" s="1">
        <v>-30.9859122911211</v>
      </c>
      <c r="J373" s="1">
        <v>1</v>
      </c>
      <c r="K373" s="1" t="s">
        <v>1272</v>
      </c>
      <c r="L373" s="1">
        <v>29.5</v>
      </c>
      <c r="M373" s="1" t="s">
        <v>23</v>
      </c>
      <c r="N373" s="3" t="s">
        <v>649</v>
      </c>
      <c r="O373" s="1"/>
    </row>
    <row r="374" spans="1:15" x14ac:dyDescent="0.25">
      <c r="A374" s="2" t="s">
        <v>774</v>
      </c>
      <c r="B374" s="1" t="s">
        <v>312</v>
      </c>
      <c r="C374" s="1" t="s">
        <v>775</v>
      </c>
      <c r="D374" s="1" t="s">
        <v>2018</v>
      </c>
      <c r="E374" s="1" t="str">
        <f>VLOOKUP(Table1[[#This Row],[Navn DK]],product_nodes_new_id!A:B,2,FALSE)</f>
        <v>067d7059-1571-586c-9bf7-a72bbfb48671</v>
      </c>
      <c r="F374" s="1">
        <v>-852.1</v>
      </c>
      <c r="G374" s="1">
        <v>1361</v>
      </c>
      <c r="H374" s="1">
        <v>0</v>
      </c>
      <c r="I374" s="1">
        <v>-290.7</v>
      </c>
      <c r="J374" s="1">
        <v>1</v>
      </c>
      <c r="K374" s="1" t="s">
        <v>1274</v>
      </c>
      <c r="L374" s="1">
        <v>700</v>
      </c>
      <c r="M374" s="1" t="s">
        <v>65</v>
      </c>
      <c r="N374" s="15" t="s">
        <v>776</v>
      </c>
      <c r="O374" s="1"/>
    </row>
    <row r="375" spans="1:15" x14ac:dyDescent="0.25">
      <c r="A375" s="2" t="s">
        <v>771</v>
      </c>
      <c r="B375" s="1" t="s">
        <v>312</v>
      </c>
      <c r="C375" s="1" t="s">
        <v>772</v>
      </c>
      <c r="D375" s="1" t="s">
        <v>2020</v>
      </c>
      <c r="E375" s="1" t="str">
        <f>VLOOKUP(Table1[[#This Row],[Navn DK]],product_nodes_new_id!A:B,2,FALSE)</f>
        <v>fc5e364f-fa8d-5791-b5a4-4ec8e06d6c3f</v>
      </c>
      <c r="F375" s="1">
        <v>-775</v>
      </c>
      <c r="G375" s="1">
        <v>983.4</v>
      </c>
      <c r="H375" s="1">
        <v>0</v>
      </c>
      <c r="I375" s="1">
        <v>-70.5</v>
      </c>
      <c r="J375" s="1">
        <v>1</v>
      </c>
      <c r="K375" s="1" t="s">
        <v>1274</v>
      </c>
      <c r="L375" s="1">
        <v>633.29</v>
      </c>
      <c r="M375" s="1" t="s">
        <v>65</v>
      </c>
      <c r="N375" s="3" t="s">
        <v>773</v>
      </c>
      <c r="O375" s="1"/>
    </row>
    <row r="376" spans="1:15" x14ac:dyDescent="0.25">
      <c r="A376" s="2" t="s">
        <v>365</v>
      </c>
      <c r="B376" s="1" t="s">
        <v>312</v>
      </c>
      <c r="C376" s="1" t="s">
        <v>366</v>
      </c>
      <c r="D376" s="1" t="s">
        <v>2022</v>
      </c>
      <c r="E376" s="1" t="str">
        <f>VLOOKUP(Table1[[#This Row],[Navn DK]],product_nodes_new_id!A:B,2,FALSE)</f>
        <v>2686fbc4-3a72-5695-8cb9-c4fb9748a317</v>
      </c>
      <c r="F376" s="1">
        <v>7.8406899728079207E-3</v>
      </c>
      <c r="G376" s="1">
        <v>6.7659246166958103E-3</v>
      </c>
      <c r="H376" s="1">
        <v>0</v>
      </c>
      <c r="I376" s="1">
        <v>-1.5746196289599199E-3</v>
      </c>
      <c r="J376" s="1">
        <v>1</v>
      </c>
      <c r="K376" s="1" t="s">
        <v>16</v>
      </c>
      <c r="L376" s="1">
        <v>1320</v>
      </c>
      <c r="M376" s="1" t="s">
        <v>65</v>
      </c>
      <c r="N376" s="3" t="s">
        <v>1126</v>
      </c>
      <c r="O376" s="1"/>
    </row>
    <row r="377" spans="1:15" x14ac:dyDescent="0.25">
      <c r="A377" s="2" t="s">
        <v>1024</v>
      </c>
      <c r="B377" s="1" t="s">
        <v>312</v>
      </c>
      <c r="C377" s="1" t="s">
        <v>1025</v>
      </c>
      <c r="D377" s="1" t="s">
        <v>2216</v>
      </c>
      <c r="E377" s="1" t="e">
        <f>VLOOKUP(Table1[[#This Row],[Navn DK]],product_nodes_new_id!A:B,2,FALSE)</f>
        <v>#N/A</v>
      </c>
      <c r="F377" s="1">
        <v>1622.0780669610899</v>
      </c>
      <c r="G377" s="1">
        <v>0</v>
      </c>
      <c r="H377" s="1">
        <v>5.8497208654966801</v>
      </c>
      <c r="I377" s="1">
        <v>-569.27750310881504</v>
      </c>
      <c r="J377" s="1">
        <v>1</v>
      </c>
      <c r="K377" s="1" t="s">
        <v>119</v>
      </c>
      <c r="L377" s="1">
        <v>631</v>
      </c>
      <c r="M377" s="1" t="s">
        <v>120</v>
      </c>
      <c r="N377" s="3" t="s">
        <v>1252</v>
      </c>
      <c r="O377" s="1"/>
    </row>
    <row r="378" spans="1:15" x14ac:dyDescent="0.25">
      <c r="A378" s="2" t="s">
        <v>998</v>
      </c>
      <c r="B378" s="1" t="s">
        <v>312</v>
      </c>
      <c r="C378" s="1" t="s">
        <v>999</v>
      </c>
      <c r="D378" s="1" t="s">
        <v>2217</v>
      </c>
      <c r="E378" s="1" t="e">
        <f>VLOOKUP(Table1[[#This Row],[Navn DK]],product_nodes_new_id!A:B,2,FALSE)</f>
        <v>#N/A</v>
      </c>
      <c r="F378" s="1">
        <v>7167.1916330733602</v>
      </c>
      <c r="G378" s="1">
        <v>0</v>
      </c>
      <c r="H378" s="1">
        <v>22.311106727534</v>
      </c>
      <c r="I378" s="1">
        <v>-3074.5504273927399</v>
      </c>
      <c r="J378" s="1">
        <v>1</v>
      </c>
      <c r="K378" s="1" t="s">
        <v>119</v>
      </c>
      <c r="L378" s="1">
        <v>3399</v>
      </c>
      <c r="M378" s="1" t="s">
        <v>120</v>
      </c>
      <c r="N378" s="3" t="s">
        <v>1251</v>
      </c>
      <c r="O378" s="1"/>
    </row>
    <row r="379" spans="1:15" x14ac:dyDescent="0.25">
      <c r="A379" s="2" t="s">
        <v>1034</v>
      </c>
      <c r="B379" s="1" t="s">
        <v>312</v>
      </c>
      <c r="C379" s="1" t="s">
        <v>1035</v>
      </c>
      <c r="D379" s="1" t="s">
        <v>2218</v>
      </c>
      <c r="E379" s="1" t="e">
        <f>VLOOKUP(Table1[[#This Row],[Navn DK]],product_nodes_new_id!A:B,2,FALSE)</f>
        <v>#N/A</v>
      </c>
      <c r="F379" s="1">
        <v>2203.0299275959701</v>
      </c>
      <c r="G379" s="1">
        <v>0</v>
      </c>
      <c r="H379" s="1">
        <v>7.5743759100543304</v>
      </c>
      <c r="I379" s="1">
        <v>-831.74926032482301</v>
      </c>
      <c r="J379" s="1">
        <v>1</v>
      </c>
      <c r="K379" s="1" t="s">
        <v>119</v>
      </c>
      <c r="L379" s="1">
        <v>921</v>
      </c>
      <c r="M379" s="1" t="s">
        <v>120</v>
      </c>
      <c r="N379" s="3" t="s">
        <v>1254</v>
      </c>
      <c r="O379" s="1"/>
    </row>
    <row r="380" spans="1:15" x14ac:dyDescent="0.25">
      <c r="A380" s="2" t="s">
        <v>272</v>
      </c>
      <c r="B380" s="1" t="s">
        <v>126</v>
      </c>
      <c r="C380" s="1" t="s">
        <v>21</v>
      </c>
      <c r="D380" s="1" t="s">
        <v>273</v>
      </c>
      <c r="E380" s="1" t="e">
        <f>VLOOKUP(Table1[[#This Row],[Navn DK]],product_nodes_new_id!A:B,2,FALSE)</f>
        <v>#N/A</v>
      </c>
      <c r="F380" s="1">
        <v>-139.5</v>
      </c>
      <c r="G380" s="1">
        <v>95.04000000000002</v>
      </c>
      <c r="H380" s="1">
        <v>0</v>
      </c>
      <c r="I380" s="1">
        <v>-9.09</v>
      </c>
      <c r="J380" s="1">
        <v>1</v>
      </c>
      <c r="K380" s="1" t="s">
        <v>1274</v>
      </c>
      <c r="L380" s="1">
        <v>103.3</v>
      </c>
      <c r="M380" s="1" t="s">
        <v>65</v>
      </c>
      <c r="N380" s="3" t="s">
        <v>128</v>
      </c>
      <c r="O380" s="1"/>
    </row>
    <row r="381" spans="1:15" x14ac:dyDescent="0.25">
      <c r="A381" s="2" t="s">
        <v>468</v>
      </c>
      <c r="B381" s="1" t="s">
        <v>312</v>
      </c>
      <c r="C381" s="1" t="s">
        <v>469</v>
      </c>
      <c r="D381" s="1" t="s">
        <v>2050</v>
      </c>
      <c r="E381" s="1" t="str">
        <f>VLOOKUP(Table1[[#This Row],[Navn DK]],product_nodes_new_id!A:B,2,FALSE)</f>
        <v>a01c114d-ae13-54c0-84cf-6547f197cf15</v>
      </c>
      <c r="F381" s="1">
        <v>0.12506640962520199</v>
      </c>
      <c r="G381" s="1">
        <v>0</v>
      </c>
      <c r="H381" s="1">
        <v>8.43076284160406E-2</v>
      </c>
      <c r="I381" s="1">
        <v>0</v>
      </c>
      <c r="J381" s="1">
        <v>1</v>
      </c>
      <c r="K381" s="1" t="s">
        <v>16</v>
      </c>
      <c r="L381" s="1">
        <v>2400</v>
      </c>
      <c r="M381" s="1" t="s">
        <v>65</v>
      </c>
      <c r="N381" s="15" t="s">
        <v>1159</v>
      </c>
      <c r="O381" s="1"/>
    </row>
    <row r="382" spans="1:15" x14ac:dyDescent="0.25">
      <c r="A382" s="2" t="s">
        <v>147</v>
      </c>
      <c r="B382" s="1" t="s">
        <v>126</v>
      </c>
      <c r="C382" s="1" t="s">
        <v>21</v>
      </c>
      <c r="D382" s="1" t="s">
        <v>148</v>
      </c>
      <c r="E382" s="1" t="e">
        <f>VLOOKUP(Table1[[#This Row],[Navn DK]],product_nodes_new_id!A:B,2,FALSE)</f>
        <v>#N/A</v>
      </c>
      <c r="F382" s="1">
        <v>0.61380000000000012</v>
      </c>
      <c r="G382" s="1">
        <v>0</v>
      </c>
      <c r="H382" s="1">
        <v>1.8810000000000004E-2</v>
      </c>
      <c r="I382" s="1">
        <v>-3.1500000000000007E-2</v>
      </c>
      <c r="J382" s="1">
        <v>1</v>
      </c>
      <c r="K382" s="1" t="s">
        <v>16</v>
      </c>
      <c r="L382" s="1">
        <v>1700</v>
      </c>
      <c r="M382" s="1" t="s">
        <v>65</v>
      </c>
      <c r="N382" s="3" t="s">
        <v>128</v>
      </c>
      <c r="O382" s="1"/>
    </row>
    <row r="383" spans="1:15" x14ac:dyDescent="0.25">
      <c r="A383" s="2" t="s">
        <v>309</v>
      </c>
      <c r="B383" s="1" t="s">
        <v>126</v>
      </c>
      <c r="C383" s="1" t="s">
        <v>21</v>
      </c>
      <c r="D383" s="1" t="s">
        <v>310</v>
      </c>
      <c r="E383" s="1" t="e">
        <f>VLOOKUP(Table1[[#This Row],[Navn DK]],product_nodes_new_id!A:B,2,FALSE)</f>
        <v>#N/A</v>
      </c>
      <c r="F383" s="1">
        <v>3432.0000000000005</v>
      </c>
      <c r="G383" s="1">
        <v>2.7280000000000002</v>
      </c>
      <c r="H383" s="1">
        <v>0</v>
      </c>
      <c r="I383" s="1">
        <v>-1737</v>
      </c>
      <c r="J383" s="1">
        <v>1</v>
      </c>
      <c r="K383" s="1" t="s">
        <v>283</v>
      </c>
      <c r="L383" s="1">
        <v>7850</v>
      </c>
      <c r="M383" s="1" t="s">
        <v>65</v>
      </c>
      <c r="N383" s="3" t="s">
        <v>128</v>
      </c>
      <c r="O383" s="1"/>
    </row>
    <row r="384" spans="1:15" x14ac:dyDescent="0.25">
      <c r="A384" s="2" t="s">
        <v>367</v>
      </c>
      <c r="B384" s="1" t="s">
        <v>312</v>
      </c>
      <c r="C384" s="1" t="s">
        <v>368</v>
      </c>
      <c r="D384" s="1" t="s">
        <v>2219</v>
      </c>
      <c r="E384" s="1" t="e">
        <f>VLOOKUP(Table1[[#This Row],[Navn DK]],product_nodes_new_id!A:B,2,FALSE)</f>
        <v>#N/A</v>
      </c>
      <c r="F384" s="1">
        <v>2.78061780102751</v>
      </c>
      <c r="G384" s="1">
        <v>0</v>
      </c>
      <c r="H384" s="1">
        <v>0</v>
      </c>
      <c r="I384" s="1">
        <v>-1.33168532127605</v>
      </c>
      <c r="J384" s="1">
        <v>1</v>
      </c>
      <c r="K384" s="1" t="s">
        <v>16</v>
      </c>
      <c r="L384" s="1">
        <v>7850</v>
      </c>
      <c r="M384" s="1" t="s">
        <v>65</v>
      </c>
      <c r="N384" s="3" t="s">
        <v>1127</v>
      </c>
      <c r="O384" s="1"/>
    </row>
    <row r="385" spans="1:15" x14ac:dyDescent="0.25">
      <c r="A385" s="2" t="s">
        <v>747</v>
      </c>
      <c r="B385" s="1" t="s">
        <v>312</v>
      </c>
      <c r="C385" s="1" t="s">
        <v>748</v>
      </c>
      <c r="D385" s="1" t="s">
        <v>2032</v>
      </c>
      <c r="E385" s="1" t="str">
        <f>VLOOKUP(Table1[[#This Row],[Navn DK]],product_nodes_new_id!A:B,2,FALSE)</f>
        <v>a1d6118b-5c07-5c09-9249-6046e1e3dfba</v>
      </c>
      <c r="F385" s="1">
        <v>16.7893731613322</v>
      </c>
      <c r="G385" s="1">
        <v>0</v>
      </c>
      <c r="H385" s="1">
        <v>0</v>
      </c>
      <c r="I385" s="1">
        <v>-7.8865178374190403</v>
      </c>
      <c r="J385" s="1">
        <v>1</v>
      </c>
      <c r="K385" s="1" t="s">
        <v>1272</v>
      </c>
      <c r="L385" s="1">
        <v>5.72</v>
      </c>
      <c r="M385" s="1" t="s">
        <v>23</v>
      </c>
      <c r="N385" s="3" t="s">
        <v>1217</v>
      </c>
      <c r="O385" s="1"/>
    </row>
    <row r="386" spans="1:15" x14ac:dyDescent="0.25">
      <c r="A386" s="2" t="s">
        <v>397</v>
      </c>
      <c r="B386" s="1" t="s">
        <v>312</v>
      </c>
      <c r="C386" s="1" t="s">
        <v>398</v>
      </c>
      <c r="D386" s="1" t="s">
        <v>2038</v>
      </c>
      <c r="E386" s="1" t="str">
        <f>VLOOKUP(Table1[[#This Row],[Navn DK]],product_nodes_new_id!A:B,2,FALSE)</f>
        <v>4690ade0-d9b8-559e-9186-16e53edf14f5</v>
      </c>
      <c r="F386" s="1">
        <v>2.7824722850578301</v>
      </c>
      <c r="G386" s="1">
        <v>0</v>
      </c>
      <c r="H386" s="1">
        <v>0</v>
      </c>
      <c r="I386" s="1">
        <v>-1.50772570440461</v>
      </c>
      <c r="J386" s="1">
        <v>0.999999999999999</v>
      </c>
      <c r="K386" s="1" t="s">
        <v>16</v>
      </c>
      <c r="L386" s="1">
        <v>7850</v>
      </c>
      <c r="M386" s="1" t="s">
        <v>65</v>
      </c>
      <c r="N386" s="3" t="s">
        <v>1139</v>
      </c>
      <c r="O386" s="1"/>
    </row>
    <row r="387" spans="1:15" x14ac:dyDescent="0.25">
      <c r="A387" s="2" t="s">
        <v>480</v>
      </c>
      <c r="B387" s="1" t="s">
        <v>312</v>
      </c>
      <c r="C387" s="1" t="s">
        <v>481</v>
      </c>
      <c r="D387" s="1" t="s">
        <v>2042</v>
      </c>
      <c r="E387" s="1" t="str">
        <f>VLOOKUP(Table1[[#This Row],[Navn DK]],product_nodes_new_id!A:B,2,FALSE)</f>
        <v>72c88b7f-a460-51e1-9890-67d8e630f8ed</v>
      </c>
      <c r="F387" s="1">
        <v>2.7824722850578301</v>
      </c>
      <c r="G387" s="1">
        <v>0</v>
      </c>
      <c r="H387" s="1">
        <v>0</v>
      </c>
      <c r="I387" s="1">
        <v>-1.50772570440461</v>
      </c>
      <c r="J387" s="1">
        <v>0.999999999999999</v>
      </c>
      <c r="K387" s="1" t="s">
        <v>16</v>
      </c>
      <c r="L387" s="1">
        <v>7850</v>
      </c>
      <c r="M387" s="1" t="s">
        <v>65</v>
      </c>
      <c r="N387" s="3" t="s">
        <v>482</v>
      </c>
      <c r="O387" s="1"/>
    </row>
    <row r="388" spans="1:15" x14ac:dyDescent="0.25">
      <c r="A388" s="2" t="s">
        <v>371</v>
      </c>
      <c r="B388" s="1" t="s">
        <v>312</v>
      </c>
      <c r="C388" s="1" t="s">
        <v>372</v>
      </c>
      <c r="D388" s="1" t="s">
        <v>2044</v>
      </c>
      <c r="E388" s="1" t="str">
        <f>VLOOKUP(Table1[[#This Row],[Navn DK]],product_nodes_new_id!A:B,2,FALSE)</f>
        <v>bb5671d5-ac01-5088-a210-c3108d3829ad</v>
      </c>
      <c r="F388" s="1">
        <v>3.6228887790933202</v>
      </c>
      <c r="G388" s="1">
        <v>0</v>
      </c>
      <c r="H388" s="1">
        <v>0</v>
      </c>
      <c r="I388" s="1">
        <v>-0.704584523959364</v>
      </c>
      <c r="J388" s="1">
        <v>1</v>
      </c>
      <c r="K388" s="1" t="s">
        <v>16</v>
      </c>
      <c r="L388" s="1">
        <v>7900</v>
      </c>
      <c r="M388" s="1" t="s">
        <v>65</v>
      </c>
      <c r="N388" s="3" t="s">
        <v>1129</v>
      </c>
      <c r="O388" s="1"/>
    </row>
    <row r="389" spans="1:15" x14ac:dyDescent="0.25">
      <c r="A389" s="2" t="s">
        <v>485</v>
      </c>
      <c r="B389" s="1" t="s">
        <v>312</v>
      </c>
      <c r="C389" s="1" t="s">
        <v>486</v>
      </c>
      <c r="D389" s="1" t="s">
        <v>2048</v>
      </c>
      <c r="E389" s="1" t="str">
        <f>VLOOKUP(Table1[[#This Row],[Navn DK]],product_nodes_new_id!A:B,2,FALSE)</f>
        <v>37514f06-258c-5f26-bb3a-196d5253e2be</v>
      </c>
      <c r="F389" s="1">
        <v>2.5257326779085698</v>
      </c>
      <c r="G389" s="1">
        <v>0</v>
      </c>
      <c r="H389" s="1">
        <v>1.6092731618195201E-3</v>
      </c>
      <c r="I389" s="1">
        <v>-1.3423498898380499</v>
      </c>
      <c r="J389" s="1">
        <v>1</v>
      </c>
      <c r="K389" s="1" t="s">
        <v>16</v>
      </c>
      <c r="L389" s="1">
        <v>7850</v>
      </c>
      <c r="M389" s="1" t="s">
        <v>65</v>
      </c>
      <c r="N389" s="3" t="s">
        <v>1164</v>
      </c>
      <c r="O389" s="1"/>
    </row>
    <row r="390" spans="1:15" x14ac:dyDescent="0.25">
      <c r="A390" s="2" t="s">
        <v>698</v>
      </c>
      <c r="B390" s="1" t="s">
        <v>312</v>
      </c>
      <c r="C390" s="1" t="s">
        <v>699</v>
      </c>
      <c r="D390" s="1" t="s">
        <v>2053</v>
      </c>
      <c r="E390" s="1" t="str">
        <f>VLOOKUP(Table1[[#This Row],[Navn DK]],product_nodes_new_id!A:B,2,FALSE)</f>
        <v>c8cc3d80-d45d-5912-a454-048a869d74c9</v>
      </c>
      <c r="F390" s="1">
        <v>8.3497750651967095</v>
      </c>
      <c r="G390" s="1">
        <v>6.7960571683743298</v>
      </c>
      <c r="H390" s="1">
        <v>0</v>
      </c>
      <c r="I390" s="1">
        <v>-2.4035281930208998</v>
      </c>
      <c r="J390" s="1">
        <v>1</v>
      </c>
      <c r="K390" s="1" t="s">
        <v>1272</v>
      </c>
      <c r="L390" s="1">
        <v>2</v>
      </c>
      <c r="M390" s="1" t="s">
        <v>23</v>
      </c>
      <c r="N390" s="3" t="s">
        <v>700</v>
      </c>
      <c r="O390" s="1"/>
    </row>
    <row r="391" spans="1:15" x14ac:dyDescent="0.25">
      <c r="A391" s="2" t="s">
        <v>664</v>
      </c>
      <c r="B391" s="1" t="s">
        <v>312</v>
      </c>
      <c r="C391" s="1" t="s">
        <v>665</v>
      </c>
      <c r="D391" s="1" t="s">
        <v>2055</v>
      </c>
      <c r="E391" s="1" t="str">
        <f>VLOOKUP(Table1[[#This Row],[Navn DK]],product_nodes_new_id!A:B,2,FALSE)</f>
        <v>d03bcb48-6d0e-583f-8466-8d997c3b7eaf</v>
      </c>
      <c r="F391" s="1">
        <v>5.8287973146776899</v>
      </c>
      <c r="G391" s="1">
        <v>3.7355604555124899</v>
      </c>
      <c r="H391" s="1">
        <v>0</v>
      </c>
      <c r="I391" s="1">
        <v>-0.76808731425372201</v>
      </c>
      <c r="J391" s="1">
        <v>1</v>
      </c>
      <c r="K391" s="1" t="s">
        <v>1272</v>
      </c>
      <c r="L391" s="1">
        <v>1.5</v>
      </c>
      <c r="M391" s="1" t="s">
        <v>23</v>
      </c>
      <c r="N391" s="3" t="s">
        <v>666</v>
      </c>
      <c r="O391" s="1"/>
    </row>
    <row r="392" spans="1:15" x14ac:dyDescent="0.25">
      <c r="A392" s="2" t="s">
        <v>760</v>
      </c>
      <c r="B392" s="1" t="s">
        <v>312</v>
      </c>
      <c r="C392" s="1" t="s">
        <v>761</v>
      </c>
      <c r="D392" s="1" t="s">
        <v>2059</v>
      </c>
      <c r="E392" s="1" t="str">
        <f>VLOOKUP(Table1[[#This Row],[Navn DK]],product_nodes_new_id!A:B,2,FALSE)</f>
        <v>425f60d6-aa44-5d33-8bb3-362ecc35901c</v>
      </c>
      <c r="F392" s="1">
        <v>4.98463688379488</v>
      </c>
      <c r="G392" s="1">
        <v>0</v>
      </c>
      <c r="H392" s="1">
        <v>0.522707296179451</v>
      </c>
      <c r="I392" s="1">
        <v>0</v>
      </c>
      <c r="J392" s="1">
        <v>0.999999999999997</v>
      </c>
      <c r="K392" s="1" t="s">
        <v>1272</v>
      </c>
      <c r="L392" s="1">
        <v>6.2</v>
      </c>
      <c r="M392" s="1" t="s">
        <v>23</v>
      </c>
      <c r="N392" s="3" t="s">
        <v>762</v>
      </c>
      <c r="O392" s="1"/>
    </row>
    <row r="393" spans="1:15" x14ac:dyDescent="0.25">
      <c r="A393" s="2" t="s">
        <v>177</v>
      </c>
      <c r="B393" s="1" t="s">
        <v>126</v>
      </c>
      <c r="C393" s="1" t="s">
        <v>21</v>
      </c>
      <c r="D393" s="1" t="s">
        <v>178</v>
      </c>
      <c r="E393" s="1" t="e">
        <f>VLOOKUP(Table1[[#This Row],[Navn DK]],product_nodes_new_id!A:B,2,FALSE)</f>
        <v>#N/A</v>
      </c>
      <c r="F393" s="1">
        <v>1.1000000000000001</v>
      </c>
      <c r="G393" s="1">
        <v>6.7870000000000008</v>
      </c>
      <c r="H393" s="1">
        <v>2.8160000000000004E-3</v>
      </c>
      <c r="I393" s="1">
        <v>-1.296</v>
      </c>
      <c r="J393" s="1">
        <v>1</v>
      </c>
      <c r="K393" s="1" t="s">
        <v>1272</v>
      </c>
      <c r="L393" s="1">
        <v>2.9649999999999999</v>
      </c>
      <c r="M393" s="1" t="s">
        <v>23</v>
      </c>
      <c r="N393" s="3" t="s">
        <v>128</v>
      </c>
      <c r="O393" s="1"/>
    </row>
    <row r="394" spans="1:15" x14ac:dyDescent="0.25">
      <c r="A394" s="2" t="s">
        <v>183</v>
      </c>
      <c r="B394" s="1" t="s">
        <v>126</v>
      </c>
      <c r="C394" s="1" t="s">
        <v>21</v>
      </c>
      <c r="D394" s="1" t="s">
        <v>184</v>
      </c>
      <c r="E394" s="1" t="e">
        <f>VLOOKUP(Table1[[#This Row],[Navn DK]],product_nodes_new_id!A:B,2,FALSE)</f>
        <v>#N/A</v>
      </c>
      <c r="F394" s="1">
        <v>3.1570000000000005</v>
      </c>
      <c r="G394" s="1">
        <v>14.52</v>
      </c>
      <c r="H394" s="1">
        <v>4.8070000000000009E-2</v>
      </c>
      <c r="I394" s="1">
        <v>-0.76049999999999995</v>
      </c>
      <c r="J394" s="1">
        <v>1</v>
      </c>
      <c r="K394" s="1" t="s">
        <v>1272</v>
      </c>
      <c r="L394" s="1">
        <v>5.05</v>
      </c>
      <c r="M394" s="1" t="s">
        <v>23</v>
      </c>
      <c r="N394" s="3" t="s">
        <v>128</v>
      </c>
      <c r="O394" s="1"/>
    </row>
    <row r="395" spans="1:15" x14ac:dyDescent="0.25">
      <c r="A395" s="2" t="s">
        <v>191</v>
      </c>
      <c r="B395" s="1" t="s">
        <v>126</v>
      </c>
      <c r="C395" s="1" t="s">
        <v>21</v>
      </c>
      <c r="D395" s="1" t="s">
        <v>192</v>
      </c>
      <c r="E395" s="1" t="e">
        <f>VLOOKUP(Table1[[#This Row],[Navn DK]],product_nodes_new_id!A:B,2,FALSE)</f>
        <v>#N/A</v>
      </c>
      <c r="F395" s="1">
        <v>5.6870000000000003</v>
      </c>
      <c r="G395" s="1">
        <v>26.510000000000005</v>
      </c>
      <c r="H395" s="1">
        <v>1.1000000000000001E-2</v>
      </c>
      <c r="I395" s="1">
        <v>-8.270999999999999</v>
      </c>
      <c r="J395" s="1">
        <v>1</v>
      </c>
      <c r="K395" s="1" t="s">
        <v>1272</v>
      </c>
      <c r="L395" s="1">
        <v>12.764285714285712</v>
      </c>
      <c r="M395" s="1" t="s">
        <v>23</v>
      </c>
      <c r="N395" s="3" t="s">
        <v>128</v>
      </c>
      <c r="O395" s="1"/>
    </row>
    <row r="396" spans="1:15" x14ac:dyDescent="0.25">
      <c r="A396" s="2" t="s">
        <v>181</v>
      </c>
      <c r="B396" s="1" t="s">
        <v>126</v>
      </c>
      <c r="C396" s="1" t="s">
        <v>21</v>
      </c>
      <c r="D396" s="1" t="s">
        <v>182</v>
      </c>
      <c r="E396" s="1" t="e">
        <f>VLOOKUP(Table1[[#This Row],[Navn DK]],product_nodes_new_id!A:B,2,FALSE)</f>
        <v>#N/A</v>
      </c>
      <c r="F396" s="1">
        <v>2.4200000000000004</v>
      </c>
      <c r="G396" s="1">
        <v>8.0190000000000001</v>
      </c>
      <c r="H396" s="1">
        <v>3.5090000000000003E-2</v>
      </c>
      <c r="I396" s="1">
        <v>-0.47250000000000003</v>
      </c>
      <c r="J396" s="1">
        <v>1</v>
      </c>
      <c r="K396" s="1" t="s">
        <v>1272</v>
      </c>
      <c r="L396" s="1">
        <v>3.8</v>
      </c>
      <c r="M396" s="1" t="s">
        <v>23</v>
      </c>
      <c r="N396" s="3" t="s">
        <v>128</v>
      </c>
      <c r="O396" s="1"/>
    </row>
    <row r="397" spans="1:15" x14ac:dyDescent="0.25">
      <c r="A397" s="2" t="s">
        <v>149</v>
      </c>
      <c r="B397" s="1" t="s">
        <v>126</v>
      </c>
      <c r="C397" s="1" t="s">
        <v>21</v>
      </c>
      <c r="D397" s="1" t="s">
        <v>150</v>
      </c>
      <c r="E397" s="1" t="e">
        <f>VLOOKUP(Table1[[#This Row],[Navn DK]],product_nodes_new_id!A:B,2,FALSE)</f>
        <v>#N/A</v>
      </c>
      <c r="F397" s="1">
        <v>7.0766666666666671</v>
      </c>
      <c r="G397" s="1">
        <v>0</v>
      </c>
      <c r="H397" s="1">
        <v>-5.6100000000000002E-5</v>
      </c>
      <c r="I397" s="1">
        <v>-0.70199999999999996</v>
      </c>
      <c r="J397" s="1">
        <v>1</v>
      </c>
      <c r="K397" s="1" t="s">
        <v>151</v>
      </c>
      <c r="L397" s="1">
        <v>2.2400000000000002</v>
      </c>
      <c r="M397" s="1" t="s">
        <v>152</v>
      </c>
      <c r="N397" s="3" t="s">
        <v>128</v>
      </c>
      <c r="O397" s="1"/>
    </row>
    <row r="398" spans="1:15" x14ac:dyDescent="0.25">
      <c r="A398" s="2" t="s">
        <v>199</v>
      </c>
      <c r="B398" s="1" t="s">
        <v>126</v>
      </c>
      <c r="C398" s="1" t="s">
        <v>21</v>
      </c>
      <c r="D398" s="1" t="s">
        <v>200</v>
      </c>
      <c r="E398" s="1" t="str">
        <f>VLOOKUP(Table1[[#This Row],[Navn DK]],product_nodes_new_id!A:B,2,FALSE)</f>
        <v>e7b1adaa-aca3-5d43-8e07-a749b80ab460</v>
      </c>
      <c r="F398" s="1">
        <v>10.032</v>
      </c>
      <c r="G398" s="1">
        <v>0.1353</v>
      </c>
      <c r="H398" s="1">
        <v>9.9989999999999996E-2</v>
      </c>
      <c r="I398" s="1">
        <v>-7.5689999999999993E-2</v>
      </c>
      <c r="J398" s="1">
        <v>1</v>
      </c>
      <c r="K398" s="1" t="s">
        <v>1272</v>
      </c>
      <c r="L398" s="1">
        <v>39.1</v>
      </c>
      <c r="M398" s="1" t="s">
        <v>23</v>
      </c>
      <c r="N398" s="3" t="s">
        <v>128</v>
      </c>
      <c r="O398" s="1"/>
    </row>
    <row r="399" spans="1:15" x14ac:dyDescent="0.25">
      <c r="A399" s="2" t="s">
        <v>284</v>
      </c>
      <c r="B399" s="1" t="s">
        <v>126</v>
      </c>
      <c r="C399" s="1" t="s">
        <v>21</v>
      </c>
      <c r="D399" s="21" t="s">
        <v>2064</v>
      </c>
      <c r="E399" s="1" t="str">
        <f>VLOOKUP(Table1[[#This Row],[Navn DK]],product_nodes_new_id!A:B,2,FALSE)</f>
        <v>7bb18e30-278f-5109-80e4-f7d244e8694c</v>
      </c>
      <c r="F399" s="1">
        <v>309.10000000000002</v>
      </c>
      <c r="G399" s="1">
        <v>0.7843</v>
      </c>
      <c r="H399" s="1">
        <v>0.15509999999999999</v>
      </c>
      <c r="I399" s="1">
        <v>-3.9780000000000002</v>
      </c>
      <c r="J399" s="1">
        <v>1</v>
      </c>
      <c r="K399" s="1" t="s">
        <v>283</v>
      </c>
      <c r="L399" s="1">
        <v>52.5</v>
      </c>
      <c r="M399" s="1" t="s">
        <v>23</v>
      </c>
      <c r="N399" s="3" t="s">
        <v>128</v>
      </c>
      <c r="O399" s="1"/>
    </row>
    <row r="400" spans="1:15" x14ac:dyDescent="0.25">
      <c r="A400" s="2" t="s">
        <v>442</v>
      </c>
      <c r="B400" s="1" t="s">
        <v>312</v>
      </c>
      <c r="C400" s="1" t="s">
        <v>443</v>
      </c>
      <c r="D400" s="1" t="s">
        <v>2066</v>
      </c>
      <c r="E400" s="1" t="str">
        <f>VLOOKUP(Table1[[#This Row],[Navn DK]],product_nodes_new_id!A:B,2,FALSE)</f>
        <v>d485b462-353f-5081-8261-7f440df03491</v>
      </c>
      <c r="F400" s="1">
        <v>20.0832228945251</v>
      </c>
      <c r="G400" s="1">
        <v>0.36429687477214501</v>
      </c>
      <c r="H400" s="1">
        <v>0</v>
      </c>
      <c r="I400" s="1">
        <v>-0.106092317164395</v>
      </c>
      <c r="J400" s="1">
        <v>1</v>
      </c>
      <c r="K400" s="1" t="s">
        <v>16</v>
      </c>
      <c r="L400" s="1">
        <v>2200</v>
      </c>
      <c r="M400" s="1" t="s">
        <v>65</v>
      </c>
      <c r="N400" s="3" t="s">
        <v>1151</v>
      </c>
      <c r="O400" s="1"/>
    </row>
    <row r="401" spans="1:15" x14ac:dyDescent="0.25">
      <c r="A401" s="2" t="s">
        <v>291</v>
      </c>
      <c r="B401" s="1" t="s">
        <v>126</v>
      </c>
      <c r="C401" s="1" t="s">
        <v>21</v>
      </c>
      <c r="D401" s="21" t="s">
        <v>2068</v>
      </c>
      <c r="E401" s="1" t="str">
        <f>VLOOKUP(Table1[[#This Row],[Navn DK]],product_nodes_new_id!A:B,2,FALSE)</f>
        <v>9ef81ae5-cc9c-5355-ab41-4d67bc093e00</v>
      </c>
      <c r="F401" s="1">
        <v>217.52500000000001</v>
      </c>
      <c r="G401" s="1">
        <v>3.4320000000000004</v>
      </c>
      <c r="H401" s="1">
        <v>0.1716</v>
      </c>
      <c r="I401" s="1">
        <v>-2.3760000000000003</v>
      </c>
      <c r="J401" s="1">
        <v>1</v>
      </c>
      <c r="K401" s="1" t="s">
        <v>283</v>
      </c>
      <c r="L401" s="1">
        <v>1800</v>
      </c>
      <c r="M401" s="1" t="s">
        <v>65</v>
      </c>
      <c r="N401" s="3" t="s">
        <v>128</v>
      </c>
      <c r="O401" s="1"/>
    </row>
    <row r="402" spans="1:15" x14ac:dyDescent="0.25">
      <c r="A402" s="2" t="s">
        <v>359</v>
      </c>
      <c r="B402" s="1" t="s">
        <v>312</v>
      </c>
      <c r="C402" s="1" t="s">
        <v>360</v>
      </c>
      <c r="D402" s="1" t="s">
        <v>2074</v>
      </c>
      <c r="E402" s="1" t="str">
        <f>VLOOKUP(Table1[[#This Row],[Navn DK]],product_nodes_new_id!A:B,2,FALSE)</f>
        <v>f6f9ab7e-ad87-532c-9e82-23b5794eed93</v>
      </c>
      <c r="F402" s="1">
        <v>7.5934312281955902</v>
      </c>
      <c r="G402" s="1">
        <v>0</v>
      </c>
      <c r="H402" s="1">
        <v>0</v>
      </c>
      <c r="I402" s="1">
        <v>-6.2924908582830499</v>
      </c>
      <c r="J402" s="1">
        <v>1</v>
      </c>
      <c r="K402" s="1" t="s">
        <v>16</v>
      </c>
      <c r="L402" s="1">
        <v>1</v>
      </c>
      <c r="M402" s="1" t="s">
        <v>17</v>
      </c>
      <c r="N402" s="3" t="s">
        <v>1123</v>
      </c>
      <c r="O402" s="1"/>
    </row>
    <row r="403" spans="1:15" x14ac:dyDescent="0.25">
      <c r="A403" s="2" t="s">
        <v>466</v>
      </c>
      <c r="B403" s="1" t="s">
        <v>312</v>
      </c>
      <c r="C403" s="1" t="s">
        <v>467</v>
      </c>
      <c r="D403" s="1" t="s">
        <v>2076</v>
      </c>
      <c r="E403" s="1" t="str">
        <f>VLOOKUP(Table1[[#This Row],[Navn DK]],product_nodes_new_id!A:B,2,FALSE)</f>
        <v>8edc956d-f8c3-56f4-9e02-9f102389dc77</v>
      </c>
      <c r="F403" s="1">
        <v>5.6698262225121701</v>
      </c>
      <c r="G403" s="1">
        <v>0</v>
      </c>
      <c r="H403" s="1">
        <v>0</v>
      </c>
      <c r="I403" s="1">
        <v>-4.6957504721712597</v>
      </c>
      <c r="J403" s="1">
        <v>1</v>
      </c>
      <c r="K403" s="1" t="s">
        <v>16</v>
      </c>
      <c r="L403" s="1">
        <v>1</v>
      </c>
      <c r="M403" s="1" t="s">
        <v>17</v>
      </c>
      <c r="N403" s="3" t="s">
        <v>1158</v>
      </c>
      <c r="O403" s="1"/>
    </row>
    <row r="404" spans="1:15" x14ac:dyDescent="0.25">
      <c r="A404" s="2" t="s">
        <v>847</v>
      </c>
      <c r="B404" s="1" t="s">
        <v>312</v>
      </c>
      <c r="C404" s="1" t="s">
        <v>848</v>
      </c>
      <c r="D404" s="1" t="s">
        <v>2220</v>
      </c>
      <c r="E404" s="1" t="str">
        <f>VLOOKUP(Table1[[#This Row],[Navn DK]],product_nodes_new_id!A:B,2,FALSE)</f>
        <v>0e39b087-118e-53d2-ada9-cc2b30d5c833</v>
      </c>
      <c r="F404" s="1">
        <v>-840.67434774569597</v>
      </c>
      <c r="G404" s="1">
        <v>1042.2931223923599</v>
      </c>
      <c r="H404" s="1">
        <v>0</v>
      </c>
      <c r="I404" s="1">
        <v>-319.17408375238398</v>
      </c>
      <c r="J404" s="1">
        <v>1</v>
      </c>
      <c r="K404" s="1" t="s">
        <v>1274</v>
      </c>
      <c r="L404" s="1">
        <v>571</v>
      </c>
      <c r="M404" s="1" t="s">
        <v>65</v>
      </c>
      <c r="N404" s="3" t="s">
        <v>849</v>
      </c>
      <c r="O404" s="1"/>
    </row>
    <row r="405" spans="1:15" x14ac:dyDescent="0.25">
      <c r="A405" s="2" t="s">
        <v>853</v>
      </c>
      <c r="B405" s="1" t="s">
        <v>312</v>
      </c>
      <c r="C405" s="1" t="s">
        <v>854</v>
      </c>
      <c r="D405" s="1" t="s">
        <v>2080</v>
      </c>
      <c r="E405" s="1" t="str">
        <f>VLOOKUP(Table1[[#This Row],[Navn DK]],product_nodes_new_id!A:B,2,FALSE)</f>
        <v>f54036cc-36a6-5270-9831-6f05bacfac1d</v>
      </c>
      <c r="F405" s="1">
        <v>-1008.75834622427</v>
      </c>
      <c r="G405" s="1">
        <v>1308.7988944926899</v>
      </c>
      <c r="H405" s="1">
        <v>0</v>
      </c>
      <c r="I405" s="1">
        <v>-400.78426979064699</v>
      </c>
      <c r="J405" s="1">
        <v>1</v>
      </c>
      <c r="K405" s="1" t="s">
        <v>1274</v>
      </c>
      <c r="L405" s="1">
        <v>716.8</v>
      </c>
      <c r="M405" s="1" t="s">
        <v>65</v>
      </c>
      <c r="N405" s="3" t="s">
        <v>855</v>
      </c>
      <c r="O405" s="1"/>
    </row>
    <row r="406" spans="1:15" x14ac:dyDescent="0.25">
      <c r="A406" s="2" t="s">
        <v>842</v>
      </c>
      <c r="B406" s="1" t="s">
        <v>312</v>
      </c>
      <c r="C406" s="1" t="s">
        <v>843</v>
      </c>
      <c r="D406" s="1" t="s">
        <v>2082</v>
      </c>
      <c r="E406" s="1" t="str">
        <f>VLOOKUP(Table1[[#This Row],[Navn DK]],product_nodes_new_id!A:B,2,FALSE)</f>
        <v>dedfe00f-4dec-5606-8602-4f6ec6e21e65</v>
      </c>
      <c r="F406" s="1">
        <v>-781.68800582733502</v>
      </c>
      <c r="G406" s="1">
        <v>1002.13471837725</v>
      </c>
      <c r="H406" s="1">
        <v>0</v>
      </c>
      <c r="I406" s="1">
        <v>-306.87665845894702</v>
      </c>
      <c r="J406" s="1">
        <v>1</v>
      </c>
      <c r="K406" s="1" t="s">
        <v>1274</v>
      </c>
      <c r="L406" s="1">
        <v>548.79999999999995</v>
      </c>
      <c r="M406" s="1" t="s">
        <v>65</v>
      </c>
      <c r="N406" s="3" t="s">
        <v>844</v>
      </c>
      <c r="O406" s="1"/>
    </row>
    <row r="407" spans="1:15" x14ac:dyDescent="0.25">
      <c r="A407" s="2" t="s">
        <v>837</v>
      </c>
      <c r="B407" s="1" t="s">
        <v>312</v>
      </c>
      <c r="C407" s="1" t="s">
        <v>838</v>
      </c>
      <c r="D407" s="1" t="s">
        <v>2084</v>
      </c>
      <c r="E407" s="1" t="str">
        <f>VLOOKUP(Table1[[#This Row],[Navn DK]],product_nodes_new_id!A:B,2,FALSE)</f>
        <v>120b3934-bf21-52fc-9c35-ef76fef5ad22</v>
      </c>
      <c r="F407" s="1">
        <v>-693.20131068643695</v>
      </c>
      <c r="G407" s="1">
        <v>879.83412433120702</v>
      </c>
      <c r="H407" s="1">
        <v>0</v>
      </c>
      <c r="I407" s="1">
        <v>-269.42540870166198</v>
      </c>
      <c r="J407" s="1">
        <v>1</v>
      </c>
      <c r="K407" s="1" t="s">
        <v>1274</v>
      </c>
      <c r="L407" s="1">
        <v>481.6</v>
      </c>
      <c r="M407" s="1" t="s">
        <v>65</v>
      </c>
      <c r="N407" s="3" t="s">
        <v>839</v>
      </c>
      <c r="O407" s="1"/>
    </row>
    <row r="408" spans="1:15" x14ac:dyDescent="0.25">
      <c r="A408" s="2" t="s">
        <v>850</v>
      </c>
      <c r="B408" s="1" t="s">
        <v>312</v>
      </c>
      <c r="C408" s="1" t="s">
        <v>851</v>
      </c>
      <c r="D408" s="1" t="s">
        <v>2086</v>
      </c>
      <c r="E408" s="1" t="str">
        <f>VLOOKUP(Table1[[#This Row],[Navn DK]],product_nodes_new_id!A:B,2,FALSE)</f>
        <v>2353aabb-548c-5a15-aa39-3034a4419e0c</v>
      </c>
      <c r="F408" s="1">
        <v>-902.763660690763</v>
      </c>
      <c r="G408" s="1">
        <v>1206.5775024542099</v>
      </c>
      <c r="H408" s="1">
        <v>0</v>
      </c>
      <c r="I408" s="1">
        <v>-369.48173268007997</v>
      </c>
      <c r="J408" s="1">
        <v>1</v>
      </c>
      <c r="K408" s="1" t="s">
        <v>1274</v>
      </c>
      <c r="L408" s="1">
        <v>660.8</v>
      </c>
      <c r="M408" s="1" t="s">
        <v>65</v>
      </c>
      <c r="N408" s="3" t="s">
        <v>852</v>
      </c>
      <c r="O408" s="1"/>
    </row>
    <row r="409" spans="1:15" x14ac:dyDescent="0.25">
      <c r="A409" s="2" t="s">
        <v>1260</v>
      </c>
      <c r="B409" s="1" t="s">
        <v>126</v>
      </c>
      <c r="C409" s="1" t="s">
        <v>21</v>
      </c>
      <c r="D409" s="1" t="s">
        <v>27</v>
      </c>
      <c r="E409" s="1" t="e">
        <f>VLOOKUP(Table1[[#This Row],[Navn DK]],product_nodes_new_id!A:B,2,FALSE)</f>
        <v>#N/A</v>
      </c>
      <c r="F409" s="1">
        <v>90.585000000000022</v>
      </c>
      <c r="G409" s="1">
        <v>20.680000000000003</v>
      </c>
      <c r="H409" s="1">
        <v>1.1990000000000003</v>
      </c>
      <c r="I409" s="1">
        <v>-29.1</v>
      </c>
      <c r="J409" s="1">
        <v>1</v>
      </c>
      <c r="K409" s="1" t="s">
        <v>1272</v>
      </c>
      <c r="L409" s="1">
        <v>36.4</v>
      </c>
      <c r="M409" s="1" t="s">
        <v>23</v>
      </c>
      <c r="N409" s="15" t="s">
        <v>28</v>
      </c>
      <c r="O409" s="1" t="s">
        <v>1264</v>
      </c>
    </row>
    <row r="410" spans="1:15" x14ac:dyDescent="0.25">
      <c r="A410" s="2" t="s">
        <v>856</v>
      </c>
      <c r="B410" s="1" t="s">
        <v>312</v>
      </c>
      <c r="C410" s="1" t="s">
        <v>857</v>
      </c>
      <c r="D410" s="1" t="s">
        <v>2091</v>
      </c>
      <c r="E410" s="1" t="str">
        <f>VLOOKUP(Table1[[#This Row],[Navn DK]],product_nodes_new_id!A:B,2,FALSE)</f>
        <v>c6c7a195-d6a5-5d17-942a-aef09a6989c0</v>
      </c>
      <c r="F410" s="1">
        <v>-1031.94850453001</v>
      </c>
      <c r="G410" s="1">
        <v>1348.95729850781</v>
      </c>
      <c r="H410" s="1">
        <v>0</v>
      </c>
      <c r="I410" s="1">
        <v>-413.081695084084</v>
      </c>
      <c r="J410" s="1">
        <v>1</v>
      </c>
      <c r="K410" s="1" t="s">
        <v>1274</v>
      </c>
      <c r="L410" s="1">
        <v>739.2</v>
      </c>
      <c r="M410" s="1" t="s">
        <v>65</v>
      </c>
      <c r="N410" s="3" t="s">
        <v>858</v>
      </c>
      <c r="O410" s="1"/>
    </row>
    <row r="411" spans="1:15" x14ac:dyDescent="0.25">
      <c r="A411" s="2" t="s">
        <v>233</v>
      </c>
      <c r="B411" s="1" t="s">
        <v>126</v>
      </c>
      <c r="C411" s="1" t="s">
        <v>21</v>
      </c>
      <c r="D411" s="1" t="s">
        <v>234</v>
      </c>
      <c r="E411" s="1" t="e">
        <f>VLOOKUP(Table1[[#This Row],[Navn DK]],product_nodes_new_id!A:B,2,FALSE)</f>
        <v>#N/A</v>
      </c>
      <c r="F411" s="1">
        <v>-1.026</v>
      </c>
      <c r="G411" s="1">
        <v>2.4411200000000002</v>
      </c>
      <c r="H411" s="1">
        <v>3.7179999999999998E-4</v>
      </c>
      <c r="I411" s="1">
        <v>-0.12689999999999999</v>
      </c>
      <c r="J411" s="1">
        <v>1</v>
      </c>
      <c r="K411" s="1" t="s">
        <v>1273</v>
      </c>
      <c r="L411" s="1">
        <v>36.75</v>
      </c>
      <c r="M411" s="1" t="s">
        <v>65</v>
      </c>
      <c r="N411" s="3" t="s">
        <v>128</v>
      </c>
      <c r="O411" s="1"/>
    </row>
    <row r="412" spans="1:15" x14ac:dyDescent="0.25">
      <c r="A412" s="2" t="s">
        <v>239</v>
      </c>
      <c r="B412" s="1" t="s">
        <v>126</v>
      </c>
      <c r="C412" s="1" t="s">
        <v>21</v>
      </c>
      <c r="D412" s="1" t="s">
        <v>240</v>
      </c>
      <c r="E412" s="1" t="e">
        <f>VLOOKUP(Table1[[#This Row],[Navn DK]],product_nodes_new_id!A:B,2,FALSE)</f>
        <v>#N/A</v>
      </c>
      <c r="F412" s="1">
        <v>-2.1419999999999999</v>
      </c>
      <c r="G412" s="1">
        <v>3.2230000000000003</v>
      </c>
      <c r="H412" s="1">
        <v>2.7389999999999999E-4</v>
      </c>
      <c r="I412" s="1">
        <v>-0.18180000000000002</v>
      </c>
      <c r="J412" s="1">
        <v>1</v>
      </c>
      <c r="K412" s="1" t="s">
        <v>1273</v>
      </c>
      <c r="L412" s="1">
        <v>50</v>
      </c>
      <c r="M412" s="1" t="s">
        <v>65</v>
      </c>
      <c r="N412" s="3" t="s">
        <v>128</v>
      </c>
      <c r="O412" s="1"/>
    </row>
    <row r="413" spans="1:15" x14ac:dyDescent="0.25">
      <c r="A413" s="2" t="s">
        <v>276</v>
      </c>
      <c r="B413" s="1" t="s">
        <v>126</v>
      </c>
      <c r="C413" s="1" t="s">
        <v>21</v>
      </c>
      <c r="D413" s="1" t="s">
        <v>277</v>
      </c>
      <c r="E413" s="1" t="e">
        <f>VLOOKUP(Table1[[#This Row],[Navn DK]],product_nodes_new_id!A:B,2,FALSE)</f>
        <v>#N/A</v>
      </c>
      <c r="F413" s="1">
        <v>-166.5</v>
      </c>
      <c r="G413" s="1">
        <v>0</v>
      </c>
      <c r="H413" s="1">
        <v>244.20000000000002</v>
      </c>
      <c r="I413" s="1">
        <v>-94.5</v>
      </c>
      <c r="J413" s="1">
        <v>1</v>
      </c>
      <c r="K413" s="1" t="s">
        <v>1274</v>
      </c>
      <c r="L413" s="1">
        <v>140</v>
      </c>
      <c r="M413" s="1" t="s">
        <v>65</v>
      </c>
      <c r="N413" s="3" t="s">
        <v>128</v>
      </c>
      <c r="O413" s="1"/>
    </row>
    <row r="414" spans="1:15" x14ac:dyDescent="0.25">
      <c r="A414" s="2" t="s">
        <v>801</v>
      </c>
      <c r="B414" s="1" t="s">
        <v>312</v>
      </c>
      <c r="C414" s="1" t="s">
        <v>802</v>
      </c>
      <c r="D414" s="1" t="s">
        <v>2095</v>
      </c>
      <c r="E414" s="1" t="str">
        <f>VLOOKUP(Table1[[#This Row],[Navn DK]],product_nodes_new_id!A:B,2,FALSE)</f>
        <v>abfdc033-7ad1-51ce-9fec-ea098d88f0b4</v>
      </c>
      <c r="F414" s="1">
        <v>-170.406093339498</v>
      </c>
      <c r="G414" s="1">
        <v>300.66049954989001</v>
      </c>
      <c r="H414" s="1">
        <v>0</v>
      </c>
      <c r="I414" s="1">
        <v>-84.330750898483998</v>
      </c>
      <c r="J414" s="1">
        <v>1</v>
      </c>
      <c r="K414" s="1" t="s">
        <v>1274</v>
      </c>
      <c r="L414" s="1">
        <v>160</v>
      </c>
      <c r="M414" s="1" t="s">
        <v>65</v>
      </c>
      <c r="N414" s="3" t="s">
        <v>803</v>
      </c>
      <c r="O414" s="1"/>
    </row>
    <row r="415" spans="1:15" x14ac:dyDescent="0.25">
      <c r="A415" s="2" t="s">
        <v>863</v>
      </c>
      <c r="B415" s="1" t="s">
        <v>312</v>
      </c>
      <c r="C415" s="1" t="s">
        <v>864</v>
      </c>
      <c r="D415" s="1" t="s">
        <v>2097</v>
      </c>
      <c r="E415" s="1" t="str">
        <f>VLOOKUP(Table1[[#This Row],[Navn DK]],product_nodes_new_id!A:B,2,FALSE)</f>
        <v>8eb2b339-9178-5c83-a12b-bd3b1e44063e</v>
      </c>
      <c r="F415" s="1">
        <v>-887.3</v>
      </c>
      <c r="G415" s="1">
        <v>1237</v>
      </c>
      <c r="H415" s="1">
        <v>0</v>
      </c>
      <c r="I415" s="1">
        <v>-34.44</v>
      </c>
      <c r="J415" s="1">
        <v>1</v>
      </c>
      <c r="K415" s="1" t="s">
        <v>1274</v>
      </c>
      <c r="L415" s="1">
        <v>849.92</v>
      </c>
      <c r="M415" s="1" t="s">
        <v>65</v>
      </c>
      <c r="N415" s="3" t="s">
        <v>865</v>
      </c>
      <c r="O415" s="1"/>
    </row>
    <row r="416" spans="1:15" x14ac:dyDescent="0.25">
      <c r="A416" s="2" t="s">
        <v>777</v>
      </c>
      <c r="B416" s="1" t="s">
        <v>312</v>
      </c>
      <c r="C416" s="1" t="s">
        <v>778</v>
      </c>
      <c r="D416" s="1" t="s">
        <v>2099</v>
      </c>
      <c r="E416" s="1" t="str">
        <f>VLOOKUP(Table1[[#This Row],[Navn DK]],product_nodes_new_id!A:B,2,FALSE)</f>
        <v>a4fe2fe1-d71a-5fba-b94d-75ae12031efa</v>
      </c>
      <c r="F416" s="1">
        <v>-764.4</v>
      </c>
      <c r="G416" s="1">
        <v>1092</v>
      </c>
      <c r="H416" s="1">
        <v>0</v>
      </c>
      <c r="I416" s="1">
        <v>-13.44</v>
      </c>
      <c r="J416" s="1">
        <v>1</v>
      </c>
      <c r="K416" s="1" t="s">
        <v>1274</v>
      </c>
      <c r="L416" s="1">
        <v>737.5</v>
      </c>
      <c r="M416" s="1" t="s">
        <v>65</v>
      </c>
      <c r="N416" s="3" t="s">
        <v>779</v>
      </c>
      <c r="O416" s="1"/>
    </row>
    <row r="417" spans="1:15" x14ac:dyDescent="0.25">
      <c r="A417" s="2" t="s">
        <v>201</v>
      </c>
      <c r="B417" s="1" t="s">
        <v>126</v>
      </c>
      <c r="C417" s="1" t="s">
        <v>21</v>
      </c>
      <c r="D417" s="1" t="s">
        <v>202</v>
      </c>
      <c r="E417" s="1" t="e">
        <f>VLOOKUP(Table1[[#This Row],[Navn DK]],product_nodes_new_id!A:B,2,FALSE)</f>
        <v>#N/A</v>
      </c>
      <c r="F417" s="1">
        <v>-1.899</v>
      </c>
      <c r="G417" s="1">
        <v>16.72</v>
      </c>
      <c r="H417" s="1">
        <v>2.0900000000000003E-3</v>
      </c>
      <c r="I417" s="1">
        <v>-0.95400000000000007</v>
      </c>
      <c r="J417" s="1">
        <v>1</v>
      </c>
      <c r="K417" s="1" t="s">
        <v>1272</v>
      </c>
      <c r="L417" s="1">
        <v>250</v>
      </c>
      <c r="M417" s="1" t="s">
        <v>65</v>
      </c>
      <c r="N417" s="3" t="s">
        <v>128</v>
      </c>
      <c r="O417" s="1"/>
    </row>
    <row r="418" spans="1:15" x14ac:dyDescent="0.25">
      <c r="A418" s="2" t="s">
        <v>143</v>
      </c>
      <c r="B418" s="1" t="s">
        <v>126</v>
      </c>
      <c r="C418" s="1" t="s">
        <v>21</v>
      </c>
      <c r="D418" s="1" t="s">
        <v>144</v>
      </c>
      <c r="E418" s="1" t="e">
        <f>VLOOKUP(Table1[[#This Row],[Navn DK]],product_nodes_new_id!A:B,2,FALSE)</f>
        <v>#N/A</v>
      </c>
      <c r="F418" s="1">
        <v>0.18700000000000003</v>
      </c>
      <c r="G418" s="1">
        <v>0.3322</v>
      </c>
      <c r="H418" s="1">
        <v>4.5430000000000004E-4</v>
      </c>
      <c r="I418" s="1">
        <v>-0.12330000000000001</v>
      </c>
      <c r="J418" s="1">
        <v>1</v>
      </c>
      <c r="K418" s="1" t="s">
        <v>16</v>
      </c>
      <c r="L418" s="1">
        <v>255</v>
      </c>
      <c r="M418" s="1" t="s">
        <v>65</v>
      </c>
      <c r="N418" s="3" t="s">
        <v>128</v>
      </c>
      <c r="O418" s="1"/>
    </row>
    <row r="419" spans="1:15" x14ac:dyDescent="0.25">
      <c r="A419" s="2" t="s">
        <v>204</v>
      </c>
      <c r="B419" s="1" t="s">
        <v>126</v>
      </c>
      <c r="C419" s="1" t="s">
        <v>21</v>
      </c>
      <c r="D419" s="1" t="s">
        <v>1267</v>
      </c>
      <c r="E419" s="1" t="e">
        <f>VLOOKUP(Table1[[#This Row],[Navn DK]],product_nodes_new_id!A:B,2,FALSE)</f>
        <v>#N/A</v>
      </c>
      <c r="F419" s="1">
        <v>-10.35</v>
      </c>
      <c r="G419" s="1">
        <v>33.44</v>
      </c>
      <c r="H419" s="1">
        <v>0</v>
      </c>
      <c r="I419" s="1">
        <v>-2.4750000000000001</v>
      </c>
      <c r="J419" s="1">
        <v>1</v>
      </c>
      <c r="K419" s="1" t="s">
        <v>1272</v>
      </c>
      <c r="L419" s="1">
        <v>790</v>
      </c>
      <c r="M419" s="1" t="s">
        <v>65</v>
      </c>
      <c r="N419" s="3" t="s">
        <v>128</v>
      </c>
      <c r="O419" s="1"/>
    </row>
    <row r="420" spans="1:15" x14ac:dyDescent="0.25">
      <c r="A420" s="2" t="s">
        <v>1074</v>
      </c>
      <c r="B420" s="1" t="s">
        <v>312</v>
      </c>
      <c r="C420" s="1" t="s">
        <v>1075</v>
      </c>
      <c r="D420" s="1" t="s">
        <v>2101</v>
      </c>
      <c r="E420" s="1" t="str">
        <f>VLOOKUP(Table1[[#This Row],[Navn DK]],product_nodes_new_id!A:B,2,FALSE)</f>
        <v>d6324b86-b758-5964-b2c1-0ac97647d7ed</v>
      </c>
      <c r="F420" s="1">
        <v>-13.822701781063801</v>
      </c>
      <c r="G420" s="1">
        <v>21.0263659974813</v>
      </c>
      <c r="H420" s="1">
        <v>0</v>
      </c>
      <c r="I420" s="1">
        <v>-5.8974545391845199</v>
      </c>
      <c r="J420" s="1">
        <v>1</v>
      </c>
      <c r="K420" s="1" t="s">
        <v>1272</v>
      </c>
      <c r="L420" s="1">
        <v>11.5</v>
      </c>
      <c r="M420" s="1" t="s">
        <v>23</v>
      </c>
      <c r="N420" s="3" t="s">
        <v>1076</v>
      </c>
      <c r="O420" s="1"/>
    </row>
    <row r="421" spans="1:15" x14ac:dyDescent="0.25">
      <c r="A421" s="2" t="s">
        <v>203</v>
      </c>
      <c r="B421" s="1" t="s">
        <v>126</v>
      </c>
      <c r="C421" s="1" t="s">
        <v>21</v>
      </c>
      <c r="D421" s="1" t="s">
        <v>1266</v>
      </c>
      <c r="E421" s="1" t="e">
        <f>VLOOKUP(Table1[[#This Row],[Navn DK]],product_nodes_new_id!A:B,2,FALSE)</f>
        <v>#N/A</v>
      </c>
      <c r="F421" s="1">
        <v>-7.5330000000000013</v>
      </c>
      <c r="G421" s="1">
        <v>18.150000000000002</v>
      </c>
      <c r="H421" s="1">
        <v>0</v>
      </c>
      <c r="I421" s="1">
        <v>-0.70469999999999999</v>
      </c>
      <c r="J421" s="1">
        <v>1</v>
      </c>
      <c r="K421" s="1" t="s">
        <v>1272</v>
      </c>
      <c r="L421" s="1">
        <v>650</v>
      </c>
      <c r="M421" s="1" t="s">
        <v>65</v>
      </c>
      <c r="N421" s="20" t="s">
        <v>128</v>
      </c>
      <c r="O421" s="1"/>
    </row>
    <row r="422" spans="1:15" x14ac:dyDescent="0.25">
      <c r="A422" s="2" t="s">
        <v>1261</v>
      </c>
      <c r="B422" s="1" t="s">
        <v>126</v>
      </c>
      <c r="C422" s="1" t="s">
        <v>21</v>
      </c>
      <c r="D422" s="1" t="s">
        <v>22</v>
      </c>
      <c r="E422" s="1" t="e">
        <f>VLOOKUP(Table1[[#This Row],[Navn DK]],product_nodes_new_id!A:B,2,FALSE)</f>
        <v>#N/A</v>
      </c>
      <c r="F422" s="1">
        <v>51.667000000000002</v>
      </c>
      <c r="G422" s="1">
        <v>20.79</v>
      </c>
      <c r="H422" s="1">
        <v>1.4190000000000003</v>
      </c>
      <c r="I422" s="1">
        <v>-17.5</v>
      </c>
      <c r="J422" s="1">
        <v>1</v>
      </c>
      <c r="K422" s="1" t="s">
        <v>1272</v>
      </c>
      <c r="L422" s="1">
        <v>34.200000000000003</v>
      </c>
      <c r="M422" s="1" t="s">
        <v>23</v>
      </c>
      <c r="N422" s="15" t="s">
        <v>24</v>
      </c>
      <c r="O422" s="1" t="s">
        <v>1264</v>
      </c>
    </row>
    <row r="423" spans="1:15" x14ac:dyDescent="0.25">
      <c r="A423" s="2" t="s">
        <v>41</v>
      </c>
      <c r="B423" s="1" t="s">
        <v>14</v>
      </c>
      <c r="C423" s="1" t="s">
        <v>21</v>
      </c>
      <c r="D423" s="1" t="s">
        <v>42</v>
      </c>
      <c r="E423" s="1" t="e">
        <f>VLOOKUP(Table1[[#This Row],[Navn DK]],product_nodes_new_id!A:B,2,FALSE)</f>
        <v>#N/A</v>
      </c>
      <c r="F423" s="1">
        <v>56.3</v>
      </c>
      <c r="G423" s="1">
        <v>1</v>
      </c>
      <c r="H423" s="1">
        <v>0.73399999999999999</v>
      </c>
      <c r="I423" s="1">
        <v>-0.69499999999999995</v>
      </c>
      <c r="J423" s="1">
        <v>1</v>
      </c>
      <c r="K423" s="1" t="s">
        <v>1272</v>
      </c>
      <c r="L423" s="1">
        <v>332.7</v>
      </c>
      <c r="M423" s="1" t="s">
        <v>23</v>
      </c>
      <c r="N423" s="3" t="s">
        <v>38</v>
      </c>
      <c r="O423" s="1"/>
    </row>
    <row r="424" spans="1:15" x14ac:dyDescent="0.25">
      <c r="A424" s="2" t="s">
        <v>43</v>
      </c>
      <c r="B424" s="1" t="s">
        <v>14</v>
      </c>
      <c r="C424" s="1" t="s">
        <v>21</v>
      </c>
      <c r="D424" s="1" t="s">
        <v>44</v>
      </c>
      <c r="E424" s="1" t="e">
        <f>VLOOKUP(Table1[[#This Row],[Navn DK]],product_nodes_new_id!A:B,2,FALSE)</f>
        <v>#N/A</v>
      </c>
      <c r="F424" s="1">
        <v>57.7</v>
      </c>
      <c r="G424" s="1">
        <v>1.01</v>
      </c>
      <c r="H424" s="1">
        <v>0.73399999999999999</v>
      </c>
      <c r="I424" s="1">
        <v>-0.71099999999999997</v>
      </c>
      <c r="J424" s="1">
        <v>1</v>
      </c>
      <c r="K424" s="1" t="s">
        <v>1272</v>
      </c>
      <c r="L424" s="1">
        <v>335.1</v>
      </c>
      <c r="M424" s="1" t="s">
        <v>23</v>
      </c>
      <c r="N424" s="3" t="s">
        <v>38</v>
      </c>
      <c r="O424" s="1"/>
    </row>
    <row r="425" spans="1:15" x14ac:dyDescent="0.25">
      <c r="A425" s="2" t="s">
        <v>36</v>
      </c>
      <c r="B425" s="1" t="s">
        <v>14</v>
      </c>
      <c r="C425" s="1" t="s">
        <v>21</v>
      </c>
      <c r="D425" s="1" t="s">
        <v>37</v>
      </c>
      <c r="E425" s="1" t="e">
        <f>VLOOKUP(Table1[[#This Row],[Navn DK]],product_nodes_new_id!A:B,2,FALSE)</f>
        <v>#N/A</v>
      </c>
      <c r="F425" s="1">
        <v>55.3</v>
      </c>
      <c r="G425" s="1">
        <v>0.90800000000000003</v>
      </c>
      <c r="H425" s="1">
        <v>0.65800000000000003</v>
      </c>
      <c r="I425" s="1">
        <v>-0.61299999999999999</v>
      </c>
      <c r="J425" s="1">
        <v>1</v>
      </c>
      <c r="K425" s="1" t="s">
        <v>1272</v>
      </c>
      <c r="L425" s="1">
        <v>302</v>
      </c>
      <c r="M425" s="1" t="s">
        <v>23</v>
      </c>
      <c r="N425" s="3" t="s">
        <v>38</v>
      </c>
      <c r="O425" s="1"/>
    </row>
    <row r="426" spans="1:15" x14ac:dyDescent="0.25">
      <c r="A426" s="2" t="s">
        <v>606</v>
      </c>
      <c r="B426" s="1" t="s">
        <v>312</v>
      </c>
      <c r="C426" s="1" t="s">
        <v>607</v>
      </c>
      <c r="D426" s="1" t="s">
        <v>2103</v>
      </c>
      <c r="E426" s="1" t="str">
        <f>VLOOKUP(Table1[[#This Row],[Navn DK]],product_nodes_new_id!A:B,2,FALSE)</f>
        <v>994b043a-acd9-5460-a9bf-ebc158cdaa1c</v>
      </c>
      <c r="F426" s="1">
        <v>5.0819999999999999</v>
      </c>
      <c r="G426" s="1">
        <v>4.782</v>
      </c>
      <c r="H426" s="1">
        <v>0.30480000000000002</v>
      </c>
      <c r="I426" s="1">
        <v>-0.36680000000000001</v>
      </c>
      <c r="J426" s="1">
        <v>1</v>
      </c>
      <c r="K426" s="1" t="s">
        <v>1272</v>
      </c>
      <c r="L426" s="1">
        <v>4.3449999999999998</v>
      </c>
      <c r="M426" s="1" t="s">
        <v>23</v>
      </c>
      <c r="N426" s="3" t="s">
        <v>608</v>
      </c>
      <c r="O426" s="1"/>
    </row>
    <row r="427" spans="1:15" x14ac:dyDescent="0.25">
      <c r="A427" s="2" t="s">
        <v>618</v>
      </c>
      <c r="B427" s="1" t="s">
        <v>312</v>
      </c>
      <c r="C427" s="1" t="s">
        <v>619</v>
      </c>
      <c r="D427" s="1" t="s">
        <v>2108</v>
      </c>
      <c r="E427" s="1" t="str">
        <f>VLOOKUP(Table1[[#This Row],[Navn DK]],product_nodes_new_id!A:B,2,FALSE)</f>
        <v>4be79c92-8e53-5af1-9c0e-bd6342df5b19</v>
      </c>
      <c r="F427" s="1">
        <v>0.41334834203938497</v>
      </c>
      <c r="G427" s="1">
        <v>0.315224780174645</v>
      </c>
      <c r="H427" s="1">
        <v>0</v>
      </c>
      <c r="I427" s="1">
        <v>-0.109532564870536</v>
      </c>
      <c r="J427" s="1">
        <v>1</v>
      </c>
      <c r="K427" s="1" t="s">
        <v>1272</v>
      </c>
      <c r="L427" s="1">
        <v>0.14000000000000001</v>
      </c>
      <c r="M427" s="1" t="s">
        <v>23</v>
      </c>
      <c r="N427" s="3" t="s">
        <v>620</v>
      </c>
      <c r="O427" s="1"/>
    </row>
    <row r="428" spans="1:15" x14ac:dyDescent="0.25">
      <c r="A428" s="2" t="s">
        <v>173</v>
      </c>
      <c r="B428" s="1" t="s">
        <v>126</v>
      </c>
      <c r="C428" s="1" t="s">
        <v>21</v>
      </c>
      <c r="D428" s="1" t="s">
        <v>174</v>
      </c>
      <c r="E428" s="1" t="str">
        <f>VLOOKUP(Table1[[#This Row],[Navn DK]],product_nodes_new_id!A:B,2,FALSE)</f>
        <v>1795d646-e6a5-5a39-82c4-550564271166</v>
      </c>
      <c r="F428" s="1">
        <v>0.89100000000000013</v>
      </c>
      <c r="G428" s="1">
        <v>0.82610000000000006</v>
      </c>
      <c r="H428" s="1">
        <v>0</v>
      </c>
      <c r="I428" s="1">
        <v>-0.30870000000000003</v>
      </c>
      <c r="J428" s="1">
        <v>1</v>
      </c>
      <c r="K428" s="1" t="s">
        <v>1272</v>
      </c>
      <c r="L428" s="1">
        <v>0.25424999999999998</v>
      </c>
      <c r="M428" s="1" t="s">
        <v>23</v>
      </c>
      <c r="N428" s="3" t="s">
        <v>128</v>
      </c>
      <c r="O428" s="1"/>
    </row>
    <row r="429" spans="1:15" x14ac:dyDescent="0.25">
      <c r="A429" s="2" t="s">
        <v>621</v>
      </c>
      <c r="B429" s="1" t="s">
        <v>312</v>
      </c>
      <c r="C429" s="1" t="s">
        <v>622</v>
      </c>
      <c r="D429" s="1" t="s">
        <v>174</v>
      </c>
      <c r="E429" s="1" t="str">
        <f>VLOOKUP(Table1[[#This Row],[Navn DK]],product_nodes_new_id!A:B,2,FALSE)</f>
        <v>1795d646-e6a5-5a39-82c4-550564271166</v>
      </c>
      <c r="F429" s="1">
        <v>0.404900233050487</v>
      </c>
      <c r="G429" s="1">
        <v>0.33339747107058298</v>
      </c>
      <c r="H429" s="1">
        <v>0</v>
      </c>
      <c r="I429" s="1">
        <v>-0.137756884820943</v>
      </c>
      <c r="J429" s="1">
        <v>1</v>
      </c>
      <c r="K429" s="1" t="s">
        <v>1272</v>
      </c>
      <c r="L429" s="1">
        <v>0.15</v>
      </c>
      <c r="M429" s="1" t="s">
        <v>23</v>
      </c>
      <c r="N429" s="3" t="s">
        <v>623</v>
      </c>
      <c r="O429" s="1"/>
    </row>
    <row r="430" spans="1:15" x14ac:dyDescent="0.25">
      <c r="A430" s="2" t="s">
        <v>543</v>
      </c>
      <c r="B430" s="1" t="s">
        <v>312</v>
      </c>
      <c r="C430" s="1" t="s">
        <v>544</v>
      </c>
      <c r="D430" s="1" t="s">
        <v>2110</v>
      </c>
      <c r="E430" s="1" t="str">
        <f>VLOOKUP(Table1[[#This Row],[Navn DK]],product_nodes_new_id!A:B,2,FALSE)</f>
        <v>d05ab99d-1d0c-5e5e-ab48-80cabb6bc76c</v>
      </c>
      <c r="F430" s="1">
        <v>2.6011446675493999</v>
      </c>
      <c r="G430" s="1">
        <v>1.8736026721096499</v>
      </c>
      <c r="H430" s="1">
        <v>0</v>
      </c>
      <c r="I430" s="1">
        <v>-0.51054225837295997</v>
      </c>
      <c r="J430" s="1">
        <v>1</v>
      </c>
      <c r="K430" s="1" t="s">
        <v>16</v>
      </c>
      <c r="L430" s="1">
        <v>10</v>
      </c>
      <c r="M430" s="1" t="s">
        <v>65</v>
      </c>
      <c r="N430" s="3" t="s">
        <v>1187</v>
      </c>
      <c r="O430" s="1"/>
    </row>
    <row r="431" spans="1:15" x14ac:dyDescent="0.25">
      <c r="A431" s="2" t="s">
        <v>988</v>
      </c>
      <c r="B431" s="1" t="s">
        <v>312</v>
      </c>
      <c r="C431" s="1" t="s">
        <v>989</v>
      </c>
      <c r="D431" s="1" t="s">
        <v>2124</v>
      </c>
      <c r="E431" s="1" t="str">
        <f>VLOOKUP(Table1[[#This Row],[Navn DK]],product_nodes_new_id!A:B,2,FALSE)</f>
        <v>d09047fd-1135-571e-90a9-6a2157855363</v>
      </c>
      <c r="F431" s="1">
        <v>13.977470205287799</v>
      </c>
      <c r="G431" s="1">
        <v>4.8932112029030996</v>
      </c>
      <c r="H431" s="1">
        <v>3.4718042122241499E-3</v>
      </c>
      <c r="I431" s="1">
        <v>-5.4042942728322299</v>
      </c>
      <c r="J431" s="1">
        <v>1</v>
      </c>
      <c r="K431" s="1" t="s">
        <v>119</v>
      </c>
      <c r="L431" s="1">
        <v>3.95</v>
      </c>
      <c r="M431" s="1" t="s">
        <v>120</v>
      </c>
      <c r="N431" s="3" t="s">
        <v>1249</v>
      </c>
      <c r="O431" s="1"/>
    </row>
    <row r="432" spans="1:15" x14ac:dyDescent="0.25">
      <c r="A432" s="2" t="s">
        <v>930</v>
      </c>
      <c r="B432" s="1" t="s">
        <v>312</v>
      </c>
      <c r="C432" s="1" t="s">
        <v>931</v>
      </c>
      <c r="D432" s="1" t="s">
        <v>2126</v>
      </c>
      <c r="E432" s="1" t="str">
        <f>VLOOKUP(Table1[[#This Row],[Navn DK]],product_nodes_new_id!A:B,2,FALSE)</f>
        <v>bf3aa6de-2e00-5ebc-9eb9-7f3d9a9db894</v>
      </c>
      <c r="F432" s="1">
        <v>456.23223209957598</v>
      </c>
      <c r="G432" s="1">
        <v>29.1029442379727</v>
      </c>
      <c r="H432" s="1">
        <v>5.1224383642292297</v>
      </c>
      <c r="I432" s="1">
        <v>-192.241883000526</v>
      </c>
      <c r="J432" s="1">
        <v>1</v>
      </c>
      <c r="K432" s="1" t="s">
        <v>119</v>
      </c>
      <c r="L432" s="1">
        <v>134</v>
      </c>
      <c r="M432" s="1" t="s">
        <v>120</v>
      </c>
      <c r="N432" s="3" t="s">
        <v>932</v>
      </c>
      <c r="O432" s="1"/>
    </row>
    <row r="433" spans="1:15" x14ac:dyDescent="0.25">
      <c r="A433" s="2" t="s">
        <v>957</v>
      </c>
      <c r="B433" s="1" t="s">
        <v>312</v>
      </c>
      <c r="C433" s="1" t="s">
        <v>958</v>
      </c>
      <c r="D433" s="1" t="s">
        <v>2128</v>
      </c>
      <c r="E433" s="1" t="str">
        <f>VLOOKUP(Table1[[#This Row],[Navn DK]],product_nodes_new_id!A:B,2,FALSE)</f>
        <v>89364e34-b3af-5a4a-bbdd-6dcb30798f8f</v>
      </c>
      <c r="F433" s="1">
        <v>638.72512493940599</v>
      </c>
      <c r="G433" s="1">
        <v>40.7441219331618</v>
      </c>
      <c r="H433" s="1">
        <v>7.1714137099209303</v>
      </c>
      <c r="I433" s="1">
        <v>-269.13863620073698</v>
      </c>
      <c r="J433" s="1">
        <v>1</v>
      </c>
      <c r="K433" s="1" t="s">
        <v>119</v>
      </c>
      <c r="L433" s="1">
        <v>187.6</v>
      </c>
      <c r="M433" s="1" t="s">
        <v>120</v>
      </c>
      <c r="N433" s="3" t="s">
        <v>959</v>
      </c>
      <c r="O433" s="1"/>
    </row>
    <row r="434" spans="1:15" x14ac:dyDescent="0.25">
      <c r="A434" s="2" t="s">
        <v>1036</v>
      </c>
      <c r="B434" s="1" t="s">
        <v>312</v>
      </c>
      <c r="C434" s="1" t="s">
        <v>1037</v>
      </c>
      <c r="D434" s="1" t="s">
        <v>2130</v>
      </c>
      <c r="E434" s="1" t="str">
        <f>VLOOKUP(Table1[[#This Row],[Navn DK]],product_nodes_new_id!A:B,2,FALSE)</f>
        <v>8c91ce0c-b21b-52ce-a5cc-5773377cc34b</v>
      </c>
      <c r="F434" s="1">
        <v>319.36256246970299</v>
      </c>
      <c r="G434" s="1">
        <v>20.3720609665809</v>
      </c>
      <c r="H434" s="1">
        <v>3.5857068549604598</v>
      </c>
      <c r="I434" s="1">
        <v>-134.56931810036801</v>
      </c>
      <c r="J434" s="1">
        <v>1</v>
      </c>
      <c r="K434" s="1" t="s">
        <v>119</v>
      </c>
      <c r="L434" s="1">
        <v>93.8</v>
      </c>
      <c r="M434" s="1" t="s">
        <v>120</v>
      </c>
      <c r="N434" s="3" t="s">
        <v>1038</v>
      </c>
      <c r="O434" s="1"/>
    </row>
    <row r="435" spans="1:15" x14ac:dyDescent="0.25">
      <c r="A435" s="2" t="s">
        <v>951</v>
      </c>
      <c r="B435" s="1" t="s">
        <v>312</v>
      </c>
      <c r="C435" s="1" t="s">
        <v>952</v>
      </c>
      <c r="D435" s="1" t="s">
        <v>2132</v>
      </c>
      <c r="E435" s="1" t="str">
        <f>VLOOKUP(Table1[[#This Row],[Navn DK]],product_nodes_new_id!A:B,2,FALSE)</f>
        <v>66011389-ac5e-5f4d-a280-10a602d36e65</v>
      </c>
      <c r="F435" s="1">
        <v>389.04142255988802</v>
      </c>
      <c r="G435" s="1">
        <v>4.2819300051919802</v>
      </c>
      <c r="H435" s="1">
        <v>0.11905403775171</v>
      </c>
      <c r="I435" s="1">
        <v>-128.27195095403701</v>
      </c>
      <c r="J435" s="1">
        <v>1</v>
      </c>
      <c r="K435" s="1" t="s">
        <v>119</v>
      </c>
      <c r="L435" s="1">
        <v>184.2</v>
      </c>
      <c r="M435" s="1" t="s">
        <v>120</v>
      </c>
      <c r="N435" s="3" t="s">
        <v>953</v>
      </c>
      <c r="O435" s="1"/>
    </row>
    <row r="436" spans="1:15" x14ac:dyDescent="0.25">
      <c r="A436" s="2" t="s">
        <v>1015</v>
      </c>
      <c r="B436" s="1" t="s">
        <v>312</v>
      </c>
      <c r="C436" s="1" t="s">
        <v>1016</v>
      </c>
      <c r="D436" s="1" t="s">
        <v>2134</v>
      </c>
      <c r="E436" s="1" t="str">
        <f>VLOOKUP(Table1[[#This Row],[Navn DK]],product_nodes_new_id!A:B,2,FALSE)</f>
        <v>930fe9fa-ac1c-51c8-91ad-d1e949451a01</v>
      </c>
      <c r="F436" s="1">
        <v>909.03855986468602</v>
      </c>
      <c r="G436" s="1">
        <v>11.352678760125899</v>
      </c>
      <c r="H436" s="1">
        <v>0.192848138335594</v>
      </c>
      <c r="I436" s="1">
        <v>-217.63034891900799</v>
      </c>
      <c r="J436" s="1">
        <v>1</v>
      </c>
      <c r="K436" s="1" t="s">
        <v>119</v>
      </c>
      <c r="L436" s="1">
        <v>488.9</v>
      </c>
      <c r="M436" s="1" t="s">
        <v>120</v>
      </c>
      <c r="N436" s="3" t="s">
        <v>1017</v>
      </c>
      <c r="O436" s="1"/>
    </row>
    <row r="437" spans="1:15" x14ac:dyDescent="0.25">
      <c r="A437" s="2" t="s">
        <v>1021</v>
      </c>
      <c r="B437" s="1" t="s">
        <v>312</v>
      </c>
      <c r="C437" s="1" t="s">
        <v>1022</v>
      </c>
      <c r="D437" s="1" t="s">
        <v>2136</v>
      </c>
      <c r="E437" s="1" t="str">
        <f>VLOOKUP(Table1[[#This Row],[Navn DK]],product_nodes_new_id!A:B,2,FALSE)</f>
        <v>6abedd19-eeb0-5002-ba88-29289aaf10fd</v>
      </c>
      <c r="F437" s="1">
        <v>837.13050011642304</v>
      </c>
      <c r="G437" s="1">
        <v>4.2819300051919802</v>
      </c>
      <c r="H437" s="1">
        <v>0.11906195821759399</v>
      </c>
      <c r="I437" s="1">
        <v>-128.28384258649001</v>
      </c>
      <c r="J437" s="1">
        <v>1</v>
      </c>
      <c r="K437" s="1" t="s">
        <v>119</v>
      </c>
      <c r="L437" s="1">
        <v>563</v>
      </c>
      <c r="M437" s="1" t="s">
        <v>120</v>
      </c>
      <c r="N437" s="3" t="s">
        <v>1023</v>
      </c>
      <c r="O437" s="1"/>
    </row>
    <row r="438" spans="1:15" x14ac:dyDescent="0.25">
      <c r="A438" s="2" t="s">
        <v>1012</v>
      </c>
      <c r="B438" s="1" t="s">
        <v>312</v>
      </c>
      <c r="C438" s="1" t="s">
        <v>1013</v>
      </c>
      <c r="D438" s="1" t="s">
        <v>2138</v>
      </c>
      <c r="E438" s="1" t="str">
        <f>VLOOKUP(Table1[[#This Row],[Navn DK]],product_nodes_new_id!A:B,2,FALSE)</f>
        <v>0283beb5-f40e-5190-80fd-6f8bf0debe3f</v>
      </c>
      <c r="F438" s="1">
        <v>6069.9587945411704</v>
      </c>
      <c r="G438" s="1">
        <v>11.352678760125899</v>
      </c>
      <c r="H438" s="1">
        <v>0.19281029610970599</v>
      </c>
      <c r="I438" s="1">
        <v>-217.57353334173101</v>
      </c>
      <c r="J438" s="1">
        <v>1</v>
      </c>
      <c r="K438" s="1" t="s">
        <v>119</v>
      </c>
      <c r="L438" s="1">
        <v>4855</v>
      </c>
      <c r="M438" s="1" t="s">
        <v>120</v>
      </c>
      <c r="N438" s="3" t="s">
        <v>1014</v>
      </c>
      <c r="O438" s="1"/>
    </row>
    <row r="439" spans="1:15" x14ac:dyDescent="0.25">
      <c r="A439" s="2" t="s">
        <v>909</v>
      </c>
      <c r="B439" s="1" t="s">
        <v>312</v>
      </c>
      <c r="C439" s="1" t="s">
        <v>910</v>
      </c>
      <c r="D439" s="1" t="s">
        <v>2140</v>
      </c>
      <c r="E439" s="1" t="str">
        <f>VLOOKUP(Table1[[#This Row],[Navn DK]],product_nodes_new_id!A:B,2,FALSE)</f>
        <v>de1f52b8-49eb-54d7-8c81-d4cd8823bad5</v>
      </c>
      <c r="F439" s="1">
        <v>284.42150577356</v>
      </c>
      <c r="G439" s="1">
        <v>5.14773597518389</v>
      </c>
      <c r="H439" s="1">
        <v>0.12680641374803001</v>
      </c>
      <c r="I439" s="1">
        <v>-142.140527165664</v>
      </c>
      <c r="J439" s="1">
        <v>1</v>
      </c>
      <c r="K439" s="1" t="s">
        <v>119</v>
      </c>
      <c r="L439" s="1">
        <v>104.2</v>
      </c>
      <c r="M439" s="1" t="s">
        <v>120</v>
      </c>
      <c r="N439" s="3" t="s">
        <v>911</v>
      </c>
      <c r="O439" s="1"/>
    </row>
    <row r="440" spans="1:15" x14ac:dyDescent="0.25">
      <c r="A440" s="2" t="s">
        <v>906</v>
      </c>
      <c r="B440" s="1" t="s">
        <v>312</v>
      </c>
      <c r="C440" s="1" t="s">
        <v>907</v>
      </c>
      <c r="D440" s="1" t="s">
        <v>2142</v>
      </c>
      <c r="E440" s="1" t="str">
        <f>VLOOKUP(Table1[[#This Row],[Navn DK]],product_nodes_new_id!A:B,2,FALSE)</f>
        <v>b2886db1-49eb-51d7-8d55-28a64ababd2c</v>
      </c>
      <c r="F440" s="1">
        <v>283.82111495346601</v>
      </c>
      <c r="G440" s="1">
        <v>5.14773597518389</v>
      </c>
      <c r="H440" s="1">
        <v>0.12680641374803001</v>
      </c>
      <c r="I440" s="1">
        <v>-142.140527165664</v>
      </c>
      <c r="J440" s="1">
        <v>1</v>
      </c>
      <c r="K440" s="1" t="s">
        <v>119</v>
      </c>
      <c r="L440" s="1">
        <v>104</v>
      </c>
      <c r="M440" s="1" t="s">
        <v>120</v>
      </c>
      <c r="N440" s="3" t="s">
        <v>908</v>
      </c>
      <c r="O440" s="1"/>
    </row>
    <row r="441" spans="1:15" x14ac:dyDescent="0.25">
      <c r="A441" s="2" t="s">
        <v>965</v>
      </c>
      <c r="B441" s="1" t="s">
        <v>312</v>
      </c>
      <c r="C441" s="1" t="s">
        <v>966</v>
      </c>
      <c r="D441" s="1" t="s">
        <v>2144</v>
      </c>
      <c r="E441" s="1" t="str">
        <f>VLOOKUP(Table1[[#This Row],[Navn DK]],product_nodes_new_id!A:B,2,FALSE)</f>
        <v>17ea9b41-f62a-5be9-842e-22a976078fff</v>
      </c>
      <c r="F441" s="1">
        <v>542.86885111254003</v>
      </c>
      <c r="G441" s="1">
        <v>13.517193685105701</v>
      </c>
      <c r="H441" s="1">
        <v>0.21041133140615301</v>
      </c>
      <c r="I441" s="1">
        <v>-249.618057403797</v>
      </c>
      <c r="J441" s="1">
        <v>1</v>
      </c>
      <c r="K441" s="1" t="s">
        <v>119</v>
      </c>
      <c r="L441" s="1">
        <v>199.2</v>
      </c>
      <c r="M441" s="1" t="s">
        <v>120</v>
      </c>
      <c r="N441" s="3" t="s">
        <v>967</v>
      </c>
      <c r="O441" s="1"/>
    </row>
    <row r="442" spans="1:15" x14ac:dyDescent="0.25">
      <c r="A442" s="2" t="s">
        <v>122</v>
      </c>
      <c r="B442" s="1" t="s">
        <v>14</v>
      </c>
      <c r="C442" s="1" t="s">
        <v>123</v>
      </c>
      <c r="D442" s="1" t="s">
        <v>124</v>
      </c>
      <c r="E442" s="1" t="e">
        <f>VLOOKUP(Table1[[#This Row],[Navn DK]],product_nodes_new_id!A:B,2,FALSE)</f>
        <v>#N/A</v>
      </c>
      <c r="F442" s="1">
        <v>9210</v>
      </c>
      <c r="G442" s="1">
        <v>81.3</v>
      </c>
      <c r="H442" s="1">
        <v>7.68</v>
      </c>
      <c r="I442" s="1">
        <v>-4310</v>
      </c>
      <c r="J442" s="1">
        <v>1</v>
      </c>
      <c r="K442" s="1" t="s">
        <v>119</v>
      </c>
      <c r="L442" s="1">
        <v>1710.14</v>
      </c>
      <c r="M442" s="1" t="s">
        <v>120</v>
      </c>
      <c r="N442" s="3" t="s">
        <v>121</v>
      </c>
      <c r="O442" s="1"/>
    </row>
    <row r="443" spans="1:15" x14ac:dyDescent="0.25">
      <c r="A443" s="2" t="s">
        <v>116</v>
      </c>
      <c r="B443" s="1" t="s">
        <v>14</v>
      </c>
      <c r="C443" s="1" t="s">
        <v>117</v>
      </c>
      <c r="D443" s="1" t="s">
        <v>118</v>
      </c>
      <c r="E443" s="1" t="e">
        <f>VLOOKUP(Table1[[#This Row],[Navn DK]],product_nodes_new_id!A:B,2,FALSE)</f>
        <v>#N/A</v>
      </c>
      <c r="F443" s="1">
        <v>3540</v>
      </c>
      <c r="G443" s="1">
        <v>32.5</v>
      </c>
      <c r="H443" s="1">
        <v>2.33</v>
      </c>
      <c r="I443" s="1">
        <v>-1680</v>
      </c>
      <c r="J443" s="1">
        <v>1</v>
      </c>
      <c r="K443" s="1" t="s">
        <v>119</v>
      </c>
      <c r="L443" s="1">
        <v>656.79</v>
      </c>
      <c r="M443" s="1" t="s">
        <v>120</v>
      </c>
      <c r="N443" s="3" t="s">
        <v>121</v>
      </c>
      <c r="O443" s="1"/>
    </row>
    <row r="444" spans="1:15" x14ac:dyDescent="0.25">
      <c r="A444" s="2" t="s">
        <v>886</v>
      </c>
      <c r="B444" s="1" t="s">
        <v>312</v>
      </c>
      <c r="C444" s="1" t="s">
        <v>887</v>
      </c>
      <c r="D444" s="1" t="s">
        <v>2221</v>
      </c>
      <c r="E444" s="1" t="e">
        <f>VLOOKUP(Table1[[#This Row],[Navn DK]],product_nodes_new_id!A:B,2,FALSE)</f>
        <v>#N/A</v>
      </c>
      <c r="F444" s="1">
        <v>3.89285056026345</v>
      </c>
      <c r="G444" s="1">
        <v>1.2930575377801401</v>
      </c>
      <c r="H444" s="1">
        <v>2.36133647802328E-2</v>
      </c>
      <c r="I444" s="1">
        <v>-1.00579162697586</v>
      </c>
      <c r="J444" s="1">
        <v>1</v>
      </c>
      <c r="K444" s="1" t="s">
        <v>119</v>
      </c>
      <c r="L444" s="1">
        <v>0.878</v>
      </c>
      <c r="M444" s="1" t="s">
        <v>120</v>
      </c>
      <c r="N444" s="3" t="s">
        <v>888</v>
      </c>
      <c r="O444" s="1"/>
    </row>
    <row r="445" spans="1:15" x14ac:dyDescent="0.25">
      <c r="A445" s="2" t="s">
        <v>892</v>
      </c>
      <c r="B445" s="1" t="s">
        <v>312</v>
      </c>
      <c r="C445" s="1" t="s">
        <v>893</v>
      </c>
      <c r="D445" s="1" t="s">
        <v>2158</v>
      </c>
      <c r="E445" s="1" t="str">
        <f>VLOOKUP(Table1[[#This Row],[Navn DK]],product_nodes_new_id!A:B,2,FALSE)</f>
        <v>f010021b-d7fc-5ac1-ba2b-63f6c727cdb0</v>
      </c>
      <c r="F445" s="1">
        <v>9.2187215016730502</v>
      </c>
      <c r="G445" s="1">
        <v>0</v>
      </c>
      <c r="H445" s="1">
        <v>0</v>
      </c>
      <c r="I445" s="1">
        <v>-3.7447021457881799</v>
      </c>
      <c r="J445" s="1">
        <v>1</v>
      </c>
      <c r="K445" s="1" t="s">
        <v>119</v>
      </c>
      <c r="L445" s="1">
        <v>1.014</v>
      </c>
      <c r="M445" s="1" t="s">
        <v>120</v>
      </c>
      <c r="N445" s="3" t="s">
        <v>894</v>
      </c>
      <c r="O445" s="1"/>
    </row>
    <row r="446" spans="1:15" x14ac:dyDescent="0.25">
      <c r="A446" s="2" t="s">
        <v>901</v>
      </c>
      <c r="B446" s="1" t="s">
        <v>312</v>
      </c>
      <c r="C446" s="1" t="s">
        <v>902</v>
      </c>
      <c r="D446" s="1" t="s">
        <v>2160</v>
      </c>
      <c r="E446" s="1" t="str">
        <f>VLOOKUP(Table1[[#This Row],[Navn DK]],product_nodes_new_id!A:B,2,FALSE)</f>
        <v>d777547a-f2a7-56f6-920c-a5b50e717cc1</v>
      </c>
      <c r="F446" s="1">
        <v>0.77010415321760795</v>
      </c>
      <c r="G446" s="1">
        <v>0.25155718456223702</v>
      </c>
      <c r="H446" s="1">
        <v>0</v>
      </c>
      <c r="I446" s="1">
        <v>-8.52087563098443E-2</v>
      </c>
      <c r="J446" s="1">
        <v>1</v>
      </c>
      <c r="K446" s="1" t="s">
        <v>119</v>
      </c>
      <c r="L446" s="1">
        <v>0.1</v>
      </c>
      <c r="M446" s="1" t="s">
        <v>120</v>
      </c>
      <c r="N446" s="3" t="s">
        <v>1246</v>
      </c>
      <c r="O446" s="1"/>
    </row>
    <row r="447" spans="1:15" x14ac:dyDescent="0.25">
      <c r="A447" s="2" t="s">
        <v>564</v>
      </c>
      <c r="B447" s="1" t="s">
        <v>312</v>
      </c>
      <c r="C447" s="1" t="s">
        <v>565</v>
      </c>
      <c r="D447" s="1" t="s">
        <v>2222</v>
      </c>
      <c r="E447" s="1" t="e">
        <f>VLOOKUP(Table1[[#This Row],[Navn DK]],product_nodes_new_id!A:B,2,FALSE)</f>
        <v>#N/A</v>
      </c>
      <c r="F447" s="1">
        <v>15.789474419154899</v>
      </c>
      <c r="G447" s="1">
        <v>0.692518500390778</v>
      </c>
      <c r="H447" s="1">
        <v>0</v>
      </c>
      <c r="I447" s="1">
        <v>-8.7508834737975292</v>
      </c>
      <c r="J447" s="1">
        <v>1</v>
      </c>
      <c r="K447" s="1" t="s">
        <v>151</v>
      </c>
      <c r="L447" s="1">
        <v>1.43</v>
      </c>
      <c r="M447" s="1" t="s">
        <v>152</v>
      </c>
      <c r="N447" s="3" t="s">
        <v>566</v>
      </c>
      <c r="O447" s="1"/>
    </row>
    <row r="448" spans="1:15" x14ac:dyDescent="0.25">
      <c r="A448" s="2" t="s">
        <v>580</v>
      </c>
      <c r="B448" s="1" t="s">
        <v>312</v>
      </c>
      <c r="C448" s="1" t="s">
        <v>581</v>
      </c>
      <c r="D448" s="1" t="s">
        <v>2162</v>
      </c>
      <c r="E448" s="1" t="str">
        <f>VLOOKUP(Table1[[#This Row],[Navn DK]],product_nodes_new_id!A:B,2,FALSE)</f>
        <v>79038d23-8210-5d7d-bc5d-c0855551bbbd</v>
      </c>
      <c r="F448" s="1">
        <v>8.1308323459671499</v>
      </c>
      <c r="G448" s="1">
        <v>2.9677746986751701</v>
      </c>
      <c r="H448" s="1">
        <v>0</v>
      </c>
      <c r="I448" s="1">
        <v>-2.98443999091685</v>
      </c>
      <c r="J448" s="1">
        <v>1</v>
      </c>
      <c r="K448" s="1" t="s">
        <v>151</v>
      </c>
      <c r="L448" s="1">
        <v>2.8</v>
      </c>
      <c r="M448" s="1" t="s">
        <v>152</v>
      </c>
      <c r="N448" s="3" t="s">
        <v>1193</v>
      </c>
      <c r="O448" s="1"/>
    </row>
    <row r="449" spans="1:15" x14ac:dyDescent="0.25">
      <c r="A449" s="2" t="s">
        <v>575</v>
      </c>
      <c r="B449" s="1" t="s">
        <v>312</v>
      </c>
      <c r="C449" s="1" t="s">
        <v>576</v>
      </c>
      <c r="D449" s="1" t="s">
        <v>2164</v>
      </c>
      <c r="E449" s="1" t="str">
        <f>VLOOKUP(Table1[[#This Row],[Navn DK]],product_nodes_new_id!A:B,2,FALSE)</f>
        <v>c0614968-6549-5971-b267-0a35252f0c44</v>
      </c>
      <c r="F449" s="1">
        <v>-0.36955560479312899</v>
      </c>
      <c r="G449" s="1">
        <v>3.8515560214498898</v>
      </c>
      <c r="H449" s="1">
        <v>0</v>
      </c>
      <c r="I449" s="1">
        <v>-1.53234917424133</v>
      </c>
      <c r="J449" s="1">
        <v>1</v>
      </c>
      <c r="K449" s="1" t="s">
        <v>151</v>
      </c>
      <c r="L449" s="1">
        <v>2.11</v>
      </c>
      <c r="M449" s="1" t="s">
        <v>152</v>
      </c>
      <c r="N449" s="3" t="s">
        <v>1192</v>
      </c>
      <c r="O449" s="1"/>
    </row>
    <row r="450" spans="1:15" x14ac:dyDescent="0.25">
      <c r="A450" s="2" t="s">
        <v>561</v>
      </c>
      <c r="B450" s="1" t="s">
        <v>312</v>
      </c>
      <c r="C450" s="1" t="s">
        <v>562</v>
      </c>
      <c r="D450" s="1" t="s">
        <v>2166</v>
      </c>
      <c r="E450" s="1" t="str">
        <f>VLOOKUP(Table1[[#This Row],[Navn DK]],product_nodes_new_id!A:B,2,FALSE)</f>
        <v>4a9b9092-21a1-5865-b1b5-45a7a23107df</v>
      </c>
      <c r="F450" s="1">
        <v>12.9537116067852</v>
      </c>
      <c r="G450" s="1">
        <v>0</v>
      </c>
      <c r="H450" s="1">
        <v>0</v>
      </c>
      <c r="I450" s="1">
        <v>-7.4221150453988596</v>
      </c>
      <c r="J450" s="1">
        <v>1</v>
      </c>
      <c r="K450" s="1" t="s">
        <v>151</v>
      </c>
      <c r="L450" s="1">
        <v>1.02</v>
      </c>
      <c r="M450" s="1" t="s">
        <v>152</v>
      </c>
      <c r="N450" s="3" t="s">
        <v>563</v>
      </c>
      <c r="O450" s="1"/>
    </row>
    <row r="451" spans="1:15" x14ac:dyDescent="0.25">
      <c r="A451" s="2" t="s">
        <v>567</v>
      </c>
      <c r="B451" s="1" t="s">
        <v>312</v>
      </c>
      <c r="C451" s="1" t="s">
        <v>568</v>
      </c>
      <c r="D451" s="1" t="s">
        <v>2170</v>
      </c>
      <c r="E451" s="1" t="str">
        <f>VLOOKUP(Table1[[#This Row],[Navn DK]],product_nodes_new_id!A:B,2,FALSE)</f>
        <v>8099069c-4ec0-5bd6-bcf0-cb8c27bbe42f</v>
      </c>
      <c r="F451" s="1">
        <v>17.0444699086916</v>
      </c>
      <c r="G451" s="1">
        <v>0.58719249272678098</v>
      </c>
      <c r="H451" s="1">
        <v>0</v>
      </c>
      <c r="I451" s="1">
        <v>-9.5879851260249094</v>
      </c>
      <c r="J451" s="1">
        <v>1</v>
      </c>
      <c r="K451" s="1" t="s">
        <v>151</v>
      </c>
      <c r="L451" s="1">
        <v>1.51</v>
      </c>
      <c r="M451" s="1" t="s">
        <v>152</v>
      </c>
      <c r="N451" s="3" t="s">
        <v>569</v>
      </c>
      <c r="O451" s="1"/>
    </row>
    <row r="452" spans="1:15" x14ac:dyDescent="0.25">
      <c r="A452" s="2" t="s">
        <v>582</v>
      </c>
      <c r="B452" s="1" t="s">
        <v>312</v>
      </c>
      <c r="C452" s="1" t="s">
        <v>583</v>
      </c>
      <c r="D452" s="1" t="s">
        <v>2172</v>
      </c>
      <c r="E452" s="1" t="str">
        <f>VLOOKUP(Table1[[#This Row],[Navn DK]],product_nodes_new_id!A:B,2,FALSE)</f>
        <v>f2d9d302-61a7-512e-b3fa-2d036755b269</v>
      </c>
      <c r="F452" s="1">
        <v>9.0730390368029497</v>
      </c>
      <c r="G452" s="1">
        <v>3.6526457829848198</v>
      </c>
      <c r="H452" s="1">
        <v>0</v>
      </c>
      <c r="I452" s="1">
        <v>-3.1518829426602002</v>
      </c>
      <c r="J452" s="1">
        <v>1</v>
      </c>
      <c r="K452" s="1" t="s">
        <v>151</v>
      </c>
      <c r="L452" s="1">
        <v>3.1</v>
      </c>
      <c r="M452" s="1" t="s">
        <v>152</v>
      </c>
      <c r="N452" s="3" t="s">
        <v>584</v>
      </c>
      <c r="O452" s="1"/>
    </row>
    <row r="453" spans="1:15" x14ac:dyDescent="0.25">
      <c r="A453" s="2" t="s">
        <v>558</v>
      </c>
      <c r="B453" s="1" t="s">
        <v>312</v>
      </c>
      <c r="C453" s="1" t="s">
        <v>559</v>
      </c>
      <c r="D453" s="1" t="s">
        <v>2174</v>
      </c>
      <c r="E453" s="1" t="str">
        <f>VLOOKUP(Table1[[#This Row],[Navn DK]],product_nodes_new_id!A:B,2,FALSE)</f>
        <v>3b9742f6-3c6a-51f3-a374-458f450b2ab4</v>
      </c>
      <c r="F453" s="1">
        <v>12.445722916323099</v>
      </c>
      <c r="G453" s="1">
        <v>0</v>
      </c>
      <c r="H453" s="1">
        <v>0</v>
      </c>
      <c r="I453" s="1">
        <v>-7.1310517102851803</v>
      </c>
      <c r="J453" s="1">
        <v>1</v>
      </c>
      <c r="K453" s="1" t="s">
        <v>151</v>
      </c>
      <c r="L453" s="1">
        <v>0.98</v>
      </c>
      <c r="M453" s="1" t="s">
        <v>152</v>
      </c>
      <c r="N453" s="3" t="s">
        <v>560</v>
      </c>
      <c r="O453" s="1"/>
    </row>
    <row r="454" spans="1:15" x14ac:dyDescent="0.25">
      <c r="A454" s="2" t="s">
        <v>577</v>
      </c>
      <c r="B454" s="1" t="s">
        <v>312</v>
      </c>
      <c r="C454" s="1" t="s">
        <v>578</v>
      </c>
      <c r="D454" s="1" t="s">
        <v>2176</v>
      </c>
      <c r="E454" s="1" t="str">
        <f>VLOOKUP(Table1[[#This Row],[Navn DK]],product_nodes_new_id!A:B,2,FALSE)</f>
        <v>603ff4d5-04e4-52bf-bb91-a9d0411be633</v>
      </c>
      <c r="F454" s="1">
        <v>-8.9903706326108099E-2</v>
      </c>
      <c r="G454" s="1">
        <v>3.8333022014430198</v>
      </c>
      <c r="H454" s="1">
        <v>0</v>
      </c>
      <c r="I454" s="1">
        <v>-1.5260317771337999</v>
      </c>
      <c r="J454" s="1">
        <v>1</v>
      </c>
      <c r="K454" s="1" t="s">
        <v>151</v>
      </c>
      <c r="L454" s="1">
        <v>2.11</v>
      </c>
      <c r="M454" s="1" t="s">
        <v>152</v>
      </c>
      <c r="N454" s="3" t="s">
        <v>579</v>
      </c>
      <c r="O454" s="1"/>
    </row>
    <row r="455" spans="1:15" x14ac:dyDescent="0.25">
      <c r="A455" s="2" t="s">
        <v>175</v>
      </c>
      <c r="B455" s="1" t="s">
        <v>126</v>
      </c>
      <c r="C455" s="1" t="s">
        <v>21</v>
      </c>
      <c r="D455" s="1" t="s">
        <v>176</v>
      </c>
      <c r="E455" s="1" t="e">
        <f>VLOOKUP(Table1[[#This Row],[Navn DK]],product_nodes_new_id!A:B,2,FALSE)</f>
        <v>#N/A</v>
      </c>
      <c r="F455" s="1">
        <v>23.249050000000004</v>
      </c>
      <c r="G455" s="1">
        <v>0</v>
      </c>
      <c r="H455" s="1">
        <v>0.29370000000000002</v>
      </c>
      <c r="I455" s="1">
        <v>0</v>
      </c>
      <c r="J455" s="1">
        <v>1</v>
      </c>
      <c r="K455" s="1" t="s">
        <v>1272</v>
      </c>
      <c r="L455" s="1">
        <v>2.7</v>
      </c>
      <c r="M455" s="1" t="s">
        <v>23</v>
      </c>
      <c r="N455" s="3" t="s">
        <v>128</v>
      </c>
      <c r="O455" s="1"/>
    </row>
    <row r="456" spans="1:15" x14ac:dyDescent="0.25">
      <c r="A456" s="2" t="s">
        <v>129</v>
      </c>
      <c r="B456" s="1" t="s">
        <v>126</v>
      </c>
      <c r="C456" s="1" t="s">
        <v>21</v>
      </c>
      <c r="D456" s="1" t="s">
        <v>130</v>
      </c>
      <c r="E456" s="1" t="e">
        <f>VLOOKUP(Table1[[#This Row],[Navn DK]],product_nodes_new_id!A:B,2,FALSE)</f>
        <v>#N/A</v>
      </c>
      <c r="F456" s="1">
        <v>1.4960000000000002</v>
      </c>
      <c r="G456" s="1">
        <v>0.47190000000000004</v>
      </c>
      <c r="H456" s="1">
        <v>0</v>
      </c>
      <c r="I456" s="1">
        <v>-0.35730000000000001</v>
      </c>
      <c r="J456" s="1">
        <v>1</v>
      </c>
      <c r="K456" s="1" t="s">
        <v>16</v>
      </c>
      <c r="L456" s="1">
        <v>1500</v>
      </c>
      <c r="M456" s="1" t="s">
        <v>65</v>
      </c>
      <c r="N456" s="3" t="s">
        <v>128</v>
      </c>
      <c r="O456" s="1"/>
    </row>
    <row r="457" spans="1:15" x14ac:dyDescent="0.25">
      <c r="A457" s="2" t="s">
        <v>230</v>
      </c>
      <c r="B457" s="1" t="s">
        <v>126</v>
      </c>
      <c r="C457" s="1" t="s">
        <v>21</v>
      </c>
      <c r="D457" s="1" t="s">
        <v>2186</v>
      </c>
      <c r="E457" s="1" t="str">
        <f>VLOOKUP(Table1[[#This Row],[Navn DK]],product_nodes_new_id!A:B,2,FALSE)</f>
        <v>6634d279-990b-558c-92aa-4d88d3df7f7b</v>
      </c>
      <c r="F457" s="1">
        <v>4.4264000000000001</v>
      </c>
      <c r="G457" s="1">
        <v>3.806</v>
      </c>
      <c r="H457" s="1">
        <v>1.3200000000000002E-2</v>
      </c>
      <c r="I457" s="1">
        <v>-1.404E-2</v>
      </c>
      <c r="J457" s="1">
        <v>1</v>
      </c>
      <c r="K457" s="1" t="s">
        <v>1273</v>
      </c>
      <c r="L457" s="1">
        <v>32.625</v>
      </c>
      <c r="M457" s="1" t="s">
        <v>65</v>
      </c>
      <c r="N457" s="3" t="s">
        <v>128</v>
      </c>
      <c r="O457" s="1"/>
    </row>
    <row r="458" spans="1:15" x14ac:dyDescent="0.25">
      <c r="A458" s="2" t="s">
        <v>1255</v>
      </c>
      <c r="B458" s="1" t="s">
        <v>312</v>
      </c>
      <c r="C458" s="1" t="s">
        <v>1256</v>
      </c>
      <c r="D458" s="1" t="s">
        <v>2188</v>
      </c>
      <c r="E458" s="1" t="str">
        <f>VLOOKUP(Table1[[#This Row],[Navn DK]],product_nodes_new_id!A:B,2,FALSE)</f>
        <v>bc24c18e-c83d-5fbb-a519-bf26c5a74f90</v>
      </c>
      <c r="F458" s="1">
        <v>3.222</v>
      </c>
      <c r="G458" s="1">
        <v>5.7259999999999998E-2</v>
      </c>
      <c r="H458" s="1">
        <v>2.6390000000000002E-4</v>
      </c>
      <c r="I458" s="1">
        <v>-2.4980000000000002</v>
      </c>
      <c r="J458" s="1">
        <v>1</v>
      </c>
      <c r="K458" s="1" t="s">
        <v>16</v>
      </c>
      <c r="L458" s="1">
        <v>7200</v>
      </c>
      <c r="M458" s="1" t="s">
        <v>65</v>
      </c>
      <c r="N458" s="3" t="s">
        <v>1257</v>
      </c>
      <c r="O458" s="1"/>
    </row>
    <row r="459" spans="1:15" x14ac:dyDescent="0.25">
      <c r="A459" s="4" t="s">
        <v>1107</v>
      </c>
      <c r="B459" s="5" t="s">
        <v>1093</v>
      </c>
      <c r="C459" s="5" t="s">
        <v>21</v>
      </c>
      <c r="D459" s="5" t="s">
        <v>1108</v>
      </c>
      <c r="E459" s="5" t="e">
        <f>VLOOKUP(Table1[[#This Row],[Navn DK]],product_nodes_new_id!A:B,2,FALSE)</f>
        <v>#N/A</v>
      </c>
      <c r="F459" s="5">
        <v>6.0999999999999999E-2</v>
      </c>
      <c r="G459" s="5">
        <v>6.9000000000000006E-2</v>
      </c>
      <c r="H459" s="5">
        <v>0</v>
      </c>
      <c r="I459" s="5">
        <v>-3.6999999999999998E-2</v>
      </c>
      <c r="J459" s="5"/>
      <c r="K459" s="1"/>
      <c r="L459" s="5">
        <v>0.18</v>
      </c>
      <c r="M459" s="1" t="s">
        <v>23</v>
      </c>
      <c r="N459" s="6" t="s">
        <v>1094</v>
      </c>
      <c r="O459" s="5"/>
    </row>
    <row r="460" spans="1:15" x14ac:dyDescent="0.25">
      <c r="A460" s="2" t="s">
        <v>1109</v>
      </c>
      <c r="B460" s="1" t="s">
        <v>1093</v>
      </c>
      <c r="C460" s="1" t="s">
        <v>21</v>
      </c>
      <c r="D460" s="1" t="s">
        <v>1110</v>
      </c>
      <c r="E460" s="1" t="e">
        <f>VLOOKUP(Table1[[#This Row],[Navn DK]],product_nodes_new_id!A:B,2,FALSE)</f>
        <v>#N/A</v>
      </c>
      <c r="F460" s="1">
        <v>6.4000000000000001E-2</v>
      </c>
      <c r="G460" s="1">
        <v>1.4E-2</v>
      </c>
      <c r="H460" s="1">
        <v>0</v>
      </c>
      <c r="I460" s="1">
        <v>-1.7999999999999999E-2</v>
      </c>
      <c r="J460" s="1"/>
      <c r="K460" s="1"/>
      <c r="L460" s="1">
        <v>0.99</v>
      </c>
      <c r="M460" s="1" t="s">
        <v>23</v>
      </c>
      <c r="N460" s="3" t="s">
        <v>1094</v>
      </c>
      <c r="O460" s="1"/>
    </row>
    <row r="461" spans="1:15" x14ac:dyDescent="0.25">
      <c r="A461" s="2" t="s">
        <v>1111</v>
      </c>
      <c r="B461" s="1" t="s">
        <v>1093</v>
      </c>
      <c r="C461" s="1" t="s">
        <v>21</v>
      </c>
      <c r="D461" s="1" t="s">
        <v>1112</v>
      </c>
      <c r="E461" s="1" t="e">
        <f>VLOOKUP(Table1[[#This Row],[Navn DK]],product_nodes_new_id!A:B,2,FALSE)</f>
        <v>#N/A</v>
      </c>
      <c r="F461" s="1">
        <v>1.0589999999999999</v>
      </c>
      <c r="G461" s="1">
        <v>0.03</v>
      </c>
      <c r="H461" s="1">
        <v>0</v>
      </c>
      <c r="I461" s="1">
        <v>-0.67200000000000004</v>
      </c>
      <c r="J461" s="1"/>
      <c r="K461" s="1"/>
      <c r="L461" s="1">
        <v>8.91</v>
      </c>
      <c r="M461" s="1" t="s">
        <v>23</v>
      </c>
      <c r="N461" s="3" t="s">
        <v>1094</v>
      </c>
      <c r="O461" s="1"/>
    </row>
  </sheetData>
  <hyperlinks>
    <hyperlink ref="N295" r:id="rId1" xr:uid="{00000000-0004-0000-0000-000000000000}"/>
    <hyperlink ref="N296" r:id="rId2" xr:uid="{00000000-0004-0000-0000-000001000000}"/>
    <hyperlink ref="N409" r:id="rId3" xr:uid="{00000000-0004-0000-0000-000002000000}"/>
    <hyperlink ref="N422" r:id="rId4" xr:uid="{00000000-0004-0000-0000-000003000000}"/>
    <hyperlink ref="N368" r:id="rId5" xr:uid="{00000000-0004-0000-0000-000004000000}"/>
    <hyperlink ref="N45" r:id="rId6" xr:uid="{00000000-0004-0000-0000-000005000000}"/>
    <hyperlink ref="N90" r:id="rId7" xr:uid="{00000000-0004-0000-0000-000006000000}"/>
    <hyperlink ref="N354" r:id="rId8" xr:uid="{00000000-0004-0000-0000-000009000000}"/>
    <hyperlink ref="N36" r:id="rId9" xr:uid="{00000000-0004-0000-0000-00000B000000}"/>
    <hyperlink ref="N217" r:id="rId10" xr:uid="{00000000-0004-0000-0000-00000C000000}"/>
    <hyperlink ref="N369" r:id="rId11" xr:uid="{00000000-0004-0000-0000-00000D000000}"/>
    <hyperlink ref="N381" r:id="rId12" xr:uid="{00000000-0004-0000-0000-00000F000000}"/>
    <hyperlink ref="N271" r:id="rId13" xr:uid="{00000000-0004-0000-0000-000010000000}"/>
    <hyperlink ref="N421" r:id="rId14" xr:uid="{00000000-0004-0000-0000-000011000000}"/>
    <hyperlink ref="N160" r:id="rId15" xr:uid="{00000000-0004-0000-0000-000012000000}"/>
    <hyperlink ref="N374" r:id="rId16" xr:uid="{00000000-0004-0000-0000-000013000000}"/>
  </hyperlinks>
  <pageMargins left="0.7" right="0.7" top="0.75" bottom="0.75" header="0.3" footer="0.3"/>
  <pageSetup paperSize="9" orientation="portrait" r:id="rId17"/>
  <tableParts count="1">
    <tablePart r:id="rId1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8E887-B0C6-4B1E-B080-2E6AEDACD257}">
  <dimension ref="A1:C466"/>
  <sheetViews>
    <sheetView topLeftCell="A235" zoomScale="115" zoomScaleNormal="115" workbookViewId="0">
      <selection activeCell="A260" sqref="A260"/>
    </sheetView>
  </sheetViews>
  <sheetFormatPr defaultColWidth="11.5703125" defaultRowHeight="12.75" x14ac:dyDescent="0.2"/>
  <cols>
    <col min="1" max="1" width="82" style="21" customWidth="1"/>
    <col min="2" max="2" width="51" style="21" customWidth="1"/>
    <col min="3" max="3" width="4.28515625" style="21" customWidth="1"/>
    <col min="4" max="16384" width="11.5703125" style="21"/>
  </cols>
  <sheetData>
    <row r="1" spans="1:3" x14ac:dyDescent="0.2">
      <c r="A1" s="21" t="s">
        <v>1268</v>
      </c>
      <c r="B1" s="21" t="s">
        <v>1269</v>
      </c>
      <c r="C1" s="21" t="s">
        <v>1270</v>
      </c>
    </row>
    <row r="2" spans="1:3" x14ac:dyDescent="0.2">
      <c r="A2" s="21" t="s">
        <v>1275</v>
      </c>
      <c r="B2" s="21" t="s">
        <v>1276</v>
      </c>
    </row>
    <row r="3" spans="1:3" x14ac:dyDescent="0.2">
      <c r="A3" s="21" t="s">
        <v>1277</v>
      </c>
      <c r="B3" s="21" t="s">
        <v>1278</v>
      </c>
    </row>
    <row r="4" spans="1:3" x14ac:dyDescent="0.2">
      <c r="A4" s="21" t="s">
        <v>1279</v>
      </c>
      <c r="B4" s="21" t="s">
        <v>1280</v>
      </c>
    </row>
    <row r="5" spans="1:3" x14ac:dyDescent="0.2">
      <c r="A5" s="21" t="s">
        <v>1281</v>
      </c>
      <c r="B5" s="21" t="s">
        <v>1282</v>
      </c>
    </row>
    <row r="6" spans="1:3" x14ac:dyDescent="0.2">
      <c r="A6" s="21" t="s">
        <v>1283</v>
      </c>
      <c r="B6" s="21" t="s">
        <v>1284</v>
      </c>
    </row>
    <row r="7" spans="1:3" x14ac:dyDescent="0.2">
      <c r="A7" s="21" t="s">
        <v>1285</v>
      </c>
      <c r="B7" s="21" t="s">
        <v>1286</v>
      </c>
    </row>
    <row r="8" spans="1:3" x14ac:dyDescent="0.2">
      <c r="A8" s="21" t="s">
        <v>1287</v>
      </c>
      <c r="B8" s="21" t="s">
        <v>1288</v>
      </c>
    </row>
    <row r="9" spans="1:3" x14ac:dyDescent="0.2">
      <c r="A9" s="21" t="s">
        <v>1289</v>
      </c>
      <c r="B9" s="21" t="s">
        <v>1290</v>
      </c>
    </row>
    <row r="10" spans="1:3" x14ac:dyDescent="0.2">
      <c r="A10" s="21" t="s">
        <v>1291</v>
      </c>
      <c r="B10" s="21" t="s">
        <v>1292</v>
      </c>
    </row>
    <row r="11" spans="1:3" x14ac:dyDescent="0.2">
      <c r="A11" s="21" t="s">
        <v>1293</v>
      </c>
      <c r="B11" s="21" t="s">
        <v>1294</v>
      </c>
    </row>
    <row r="12" spans="1:3" x14ac:dyDescent="0.2">
      <c r="A12" s="21" t="s">
        <v>1295</v>
      </c>
      <c r="B12" s="21" t="s">
        <v>1296</v>
      </c>
    </row>
    <row r="13" spans="1:3" x14ac:dyDescent="0.2">
      <c r="A13" s="21" t="s">
        <v>1297</v>
      </c>
      <c r="B13" s="21" t="s">
        <v>1298</v>
      </c>
    </row>
    <row r="14" spans="1:3" x14ac:dyDescent="0.2">
      <c r="A14" s="21" t="s">
        <v>1299</v>
      </c>
      <c r="B14" s="21" t="s">
        <v>1300</v>
      </c>
    </row>
    <row r="15" spans="1:3" x14ac:dyDescent="0.2">
      <c r="A15" s="21" t="s">
        <v>1301</v>
      </c>
      <c r="B15" s="21" t="s">
        <v>1302</v>
      </c>
    </row>
    <row r="16" spans="1:3" x14ac:dyDescent="0.2">
      <c r="A16" s="21" t="s">
        <v>1303</v>
      </c>
      <c r="B16" s="21" t="s">
        <v>1304</v>
      </c>
    </row>
    <row r="17" spans="1:2" x14ac:dyDescent="0.2">
      <c r="A17" s="21" t="s">
        <v>1305</v>
      </c>
      <c r="B17" s="21" t="s">
        <v>1306</v>
      </c>
    </row>
    <row r="18" spans="1:2" x14ac:dyDescent="0.2">
      <c r="A18" s="21" t="s">
        <v>1307</v>
      </c>
      <c r="B18" s="21" t="s">
        <v>1308</v>
      </c>
    </row>
    <row r="19" spans="1:2" x14ac:dyDescent="0.2">
      <c r="A19" s="21" t="s">
        <v>1309</v>
      </c>
      <c r="B19" s="21" t="s">
        <v>1310</v>
      </c>
    </row>
    <row r="20" spans="1:2" x14ac:dyDescent="0.2">
      <c r="A20" s="21" t="s">
        <v>1311</v>
      </c>
      <c r="B20" s="21" t="s">
        <v>1312</v>
      </c>
    </row>
    <row r="21" spans="1:2" x14ac:dyDescent="0.2">
      <c r="A21" s="21" t="s">
        <v>1313</v>
      </c>
      <c r="B21" s="21" t="s">
        <v>1314</v>
      </c>
    </row>
    <row r="22" spans="1:2" x14ac:dyDescent="0.2">
      <c r="A22" s="21" t="s">
        <v>1315</v>
      </c>
      <c r="B22" s="21" t="s">
        <v>1316</v>
      </c>
    </row>
    <row r="23" spans="1:2" x14ac:dyDescent="0.2">
      <c r="A23" s="21" t="s">
        <v>1317</v>
      </c>
      <c r="B23" s="21" t="s">
        <v>1318</v>
      </c>
    </row>
    <row r="24" spans="1:2" x14ac:dyDescent="0.2">
      <c r="A24" s="21" t="s">
        <v>1319</v>
      </c>
      <c r="B24" s="21" t="s">
        <v>1320</v>
      </c>
    </row>
    <row r="25" spans="1:2" x14ac:dyDescent="0.2">
      <c r="A25" s="21" t="s">
        <v>1321</v>
      </c>
      <c r="B25" s="21" t="s">
        <v>1322</v>
      </c>
    </row>
    <row r="26" spans="1:2" x14ac:dyDescent="0.2">
      <c r="A26" s="21" t="s">
        <v>1323</v>
      </c>
      <c r="B26" s="21" t="s">
        <v>1324</v>
      </c>
    </row>
    <row r="27" spans="1:2" x14ac:dyDescent="0.2">
      <c r="A27" s="21" t="s">
        <v>1325</v>
      </c>
      <c r="B27" s="21" t="s">
        <v>1326</v>
      </c>
    </row>
    <row r="28" spans="1:2" x14ac:dyDescent="0.2">
      <c r="A28" s="21" t="s">
        <v>1327</v>
      </c>
      <c r="B28" s="21" t="s">
        <v>1328</v>
      </c>
    </row>
    <row r="29" spans="1:2" x14ac:dyDescent="0.2">
      <c r="A29" s="21" t="s">
        <v>1329</v>
      </c>
      <c r="B29" s="21" t="s">
        <v>1330</v>
      </c>
    </row>
    <row r="30" spans="1:2" x14ac:dyDescent="0.2">
      <c r="A30" s="21" t="s">
        <v>1331</v>
      </c>
      <c r="B30" s="21" t="s">
        <v>1332</v>
      </c>
    </row>
    <row r="31" spans="1:2" x14ac:dyDescent="0.2">
      <c r="A31" s="21" t="s">
        <v>1333</v>
      </c>
      <c r="B31" s="21" t="s">
        <v>1334</v>
      </c>
    </row>
    <row r="32" spans="1:2" x14ac:dyDescent="0.2">
      <c r="A32" s="21" t="s">
        <v>1335</v>
      </c>
      <c r="B32" s="21" t="s">
        <v>1336</v>
      </c>
    </row>
    <row r="33" spans="1:2" x14ac:dyDescent="0.2">
      <c r="A33" s="21" t="s">
        <v>154</v>
      </c>
      <c r="B33" s="21" t="s">
        <v>1337</v>
      </c>
    </row>
    <row r="34" spans="1:2" x14ac:dyDescent="0.2">
      <c r="A34" s="21" t="s">
        <v>1338</v>
      </c>
      <c r="B34" s="21" t="s">
        <v>1339</v>
      </c>
    </row>
    <row r="35" spans="1:2" x14ac:dyDescent="0.2">
      <c r="A35" s="21" t="s">
        <v>1340</v>
      </c>
      <c r="B35" s="21" t="s">
        <v>1341</v>
      </c>
    </row>
    <row r="36" spans="1:2" x14ac:dyDescent="0.2">
      <c r="A36" s="21" t="s">
        <v>1342</v>
      </c>
      <c r="B36" s="21" t="s">
        <v>1343</v>
      </c>
    </row>
    <row r="37" spans="1:2" x14ac:dyDescent="0.2">
      <c r="A37" s="21" t="s">
        <v>1344</v>
      </c>
      <c r="B37" s="21" t="s">
        <v>1345</v>
      </c>
    </row>
    <row r="38" spans="1:2" x14ac:dyDescent="0.2">
      <c r="A38" s="21" t="s">
        <v>1346</v>
      </c>
      <c r="B38" s="21" t="s">
        <v>1347</v>
      </c>
    </row>
    <row r="39" spans="1:2" x14ac:dyDescent="0.2">
      <c r="A39" s="21" t="s">
        <v>1348</v>
      </c>
      <c r="B39" s="21" t="s">
        <v>1349</v>
      </c>
    </row>
    <row r="40" spans="1:2" x14ac:dyDescent="0.2">
      <c r="A40" s="21" t="s">
        <v>1350</v>
      </c>
      <c r="B40" s="21" t="s">
        <v>1351</v>
      </c>
    </row>
    <row r="41" spans="1:2" x14ac:dyDescent="0.2">
      <c r="A41" s="21" t="s">
        <v>1352</v>
      </c>
      <c r="B41" s="21" t="s">
        <v>1353</v>
      </c>
    </row>
    <row r="42" spans="1:2" x14ac:dyDescent="0.2">
      <c r="A42" s="21" t="s">
        <v>1354</v>
      </c>
      <c r="B42" s="21" t="s">
        <v>1355</v>
      </c>
    </row>
    <row r="43" spans="1:2" x14ac:dyDescent="0.2">
      <c r="A43" s="21" t="s">
        <v>1356</v>
      </c>
      <c r="B43" s="21" t="s">
        <v>1357</v>
      </c>
    </row>
    <row r="44" spans="1:2" x14ac:dyDescent="0.2">
      <c r="A44" s="21" t="s">
        <v>1358</v>
      </c>
      <c r="B44" s="21" t="s">
        <v>1359</v>
      </c>
    </row>
    <row r="45" spans="1:2" x14ac:dyDescent="0.2">
      <c r="A45" s="21" t="s">
        <v>1360</v>
      </c>
      <c r="B45" s="21" t="s">
        <v>1361</v>
      </c>
    </row>
    <row r="46" spans="1:2" x14ac:dyDescent="0.2">
      <c r="A46" s="21" t="s">
        <v>1362</v>
      </c>
      <c r="B46" s="21" t="s">
        <v>1363</v>
      </c>
    </row>
    <row r="47" spans="1:2" x14ac:dyDescent="0.2">
      <c r="A47" s="21" t="s">
        <v>1364</v>
      </c>
      <c r="B47" s="21" t="s">
        <v>1365</v>
      </c>
    </row>
    <row r="48" spans="1:2" x14ac:dyDescent="0.2">
      <c r="A48" s="21" t="s">
        <v>1366</v>
      </c>
      <c r="B48" s="21" t="s">
        <v>1367</v>
      </c>
    </row>
    <row r="49" spans="1:2" x14ac:dyDescent="0.2">
      <c r="A49" s="21" t="s">
        <v>1368</v>
      </c>
      <c r="B49" s="21" t="s">
        <v>1369</v>
      </c>
    </row>
    <row r="50" spans="1:2" x14ac:dyDescent="0.2">
      <c r="A50" s="21" t="s">
        <v>1370</v>
      </c>
      <c r="B50" s="21" t="s">
        <v>1371</v>
      </c>
    </row>
    <row r="51" spans="1:2" x14ac:dyDescent="0.2">
      <c r="A51" s="21" t="s">
        <v>1372</v>
      </c>
      <c r="B51" s="21" t="s">
        <v>1373</v>
      </c>
    </row>
    <row r="52" spans="1:2" x14ac:dyDescent="0.2">
      <c r="A52" s="21" t="s">
        <v>2193</v>
      </c>
      <c r="B52" s="21" t="s">
        <v>1374</v>
      </c>
    </row>
    <row r="53" spans="1:2" x14ac:dyDescent="0.2">
      <c r="A53" s="21" t="s">
        <v>1375</v>
      </c>
      <c r="B53" s="21" t="s">
        <v>1376</v>
      </c>
    </row>
    <row r="54" spans="1:2" x14ac:dyDescent="0.2">
      <c r="A54" s="21" t="s">
        <v>1377</v>
      </c>
      <c r="B54" s="21" t="s">
        <v>1378</v>
      </c>
    </row>
    <row r="55" spans="1:2" x14ac:dyDescent="0.2">
      <c r="A55" s="21" t="s">
        <v>1379</v>
      </c>
      <c r="B55" s="21" t="s">
        <v>1380</v>
      </c>
    </row>
    <row r="56" spans="1:2" x14ac:dyDescent="0.2">
      <c r="A56" s="21" t="s">
        <v>1381</v>
      </c>
      <c r="B56" s="21" t="s">
        <v>1382</v>
      </c>
    </row>
    <row r="57" spans="1:2" x14ac:dyDescent="0.2">
      <c r="A57" s="21" t="s">
        <v>1383</v>
      </c>
      <c r="B57" s="21" t="s">
        <v>1384</v>
      </c>
    </row>
    <row r="58" spans="1:2" x14ac:dyDescent="0.2">
      <c r="A58" s="21" t="s">
        <v>1385</v>
      </c>
      <c r="B58" s="21" t="s">
        <v>1386</v>
      </c>
    </row>
    <row r="59" spans="1:2" x14ac:dyDescent="0.2">
      <c r="A59" s="21" t="s">
        <v>1387</v>
      </c>
      <c r="B59" s="21" t="s">
        <v>1388</v>
      </c>
    </row>
    <row r="60" spans="1:2" x14ac:dyDescent="0.2">
      <c r="A60" s="21" t="s">
        <v>1389</v>
      </c>
      <c r="B60" s="21" t="s">
        <v>1390</v>
      </c>
    </row>
    <row r="61" spans="1:2" x14ac:dyDescent="0.2">
      <c r="A61" s="21" t="s">
        <v>1391</v>
      </c>
      <c r="B61" s="21" t="s">
        <v>1392</v>
      </c>
    </row>
    <row r="62" spans="1:2" x14ac:dyDescent="0.2">
      <c r="A62" s="21" t="s">
        <v>1393</v>
      </c>
      <c r="B62" s="21" t="s">
        <v>1394</v>
      </c>
    </row>
    <row r="63" spans="1:2" x14ac:dyDescent="0.2">
      <c r="A63" s="21" t="s">
        <v>1395</v>
      </c>
      <c r="B63" s="21" t="s">
        <v>1396</v>
      </c>
    </row>
    <row r="64" spans="1:2" x14ac:dyDescent="0.2">
      <c r="A64" s="21" t="s">
        <v>1397</v>
      </c>
      <c r="B64" s="21" t="s">
        <v>1398</v>
      </c>
    </row>
    <row r="65" spans="1:2" x14ac:dyDescent="0.2">
      <c r="A65" s="21" t="s">
        <v>1399</v>
      </c>
      <c r="B65" s="21" t="s">
        <v>1400</v>
      </c>
    </row>
    <row r="66" spans="1:2" x14ac:dyDescent="0.2">
      <c r="A66" s="21" t="s">
        <v>1401</v>
      </c>
      <c r="B66" s="21" t="s">
        <v>1402</v>
      </c>
    </row>
    <row r="67" spans="1:2" x14ac:dyDescent="0.2">
      <c r="A67" s="21" t="s">
        <v>1403</v>
      </c>
      <c r="B67" s="21" t="s">
        <v>1404</v>
      </c>
    </row>
    <row r="68" spans="1:2" x14ac:dyDescent="0.2">
      <c r="A68" s="21" t="s">
        <v>1405</v>
      </c>
      <c r="B68" s="21" t="s">
        <v>1406</v>
      </c>
    </row>
    <row r="69" spans="1:2" x14ac:dyDescent="0.2">
      <c r="A69" s="21" t="s">
        <v>1407</v>
      </c>
      <c r="B69" s="21" t="s">
        <v>1408</v>
      </c>
    </row>
    <row r="70" spans="1:2" x14ac:dyDescent="0.2">
      <c r="A70" s="21" t="s">
        <v>1409</v>
      </c>
      <c r="B70" s="21" t="s">
        <v>1410</v>
      </c>
    </row>
    <row r="71" spans="1:2" x14ac:dyDescent="0.2">
      <c r="A71" s="21" t="s">
        <v>1411</v>
      </c>
      <c r="B71" s="21" t="s">
        <v>1412</v>
      </c>
    </row>
    <row r="72" spans="1:2" x14ac:dyDescent="0.2">
      <c r="A72" s="21" t="s">
        <v>1413</v>
      </c>
      <c r="B72" s="21" t="s">
        <v>1414</v>
      </c>
    </row>
    <row r="73" spans="1:2" x14ac:dyDescent="0.2">
      <c r="A73" s="21" t="s">
        <v>1415</v>
      </c>
      <c r="B73" s="21" t="s">
        <v>1416</v>
      </c>
    </row>
    <row r="74" spans="1:2" x14ac:dyDescent="0.2">
      <c r="A74" s="21" t="s">
        <v>1417</v>
      </c>
      <c r="B74" s="21" t="s">
        <v>1418</v>
      </c>
    </row>
    <row r="75" spans="1:2" x14ac:dyDescent="0.2">
      <c r="A75" s="21" t="s">
        <v>1419</v>
      </c>
      <c r="B75" s="21" t="s">
        <v>1420</v>
      </c>
    </row>
    <row r="76" spans="1:2" x14ac:dyDescent="0.2">
      <c r="A76" s="21" t="s">
        <v>1421</v>
      </c>
      <c r="B76" s="21" t="s">
        <v>1422</v>
      </c>
    </row>
    <row r="77" spans="1:2" x14ac:dyDescent="0.2">
      <c r="A77" s="21" t="s">
        <v>1423</v>
      </c>
      <c r="B77" s="21" t="s">
        <v>1424</v>
      </c>
    </row>
    <row r="78" spans="1:2" x14ac:dyDescent="0.2">
      <c r="A78" s="21" t="s">
        <v>1425</v>
      </c>
      <c r="B78" s="21" t="s">
        <v>1426</v>
      </c>
    </row>
    <row r="79" spans="1:2" x14ac:dyDescent="0.2">
      <c r="A79" s="21" t="s">
        <v>1427</v>
      </c>
      <c r="B79" s="21" t="s">
        <v>1428</v>
      </c>
    </row>
    <row r="80" spans="1:2" x14ac:dyDescent="0.2">
      <c r="A80" s="21" t="s">
        <v>1429</v>
      </c>
      <c r="B80" s="21" t="s">
        <v>1430</v>
      </c>
    </row>
    <row r="81" spans="1:2" x14ac:dyDescent="0.2">
      <c r="A81" s="21" t="s">
        <v>1431</v>
      </c>
      <c r="B81" s="21" t="s">
        <v>1432</v>
      </c>
    </row>
    <row r="82" spans="1:2" x14ac:dyDescent="0.2">
      <c r="A82" s="21" t="s">
        <v>1433</v>
      </c>
      <c r="B82" s="21" t="s">
        <v>1434</v>
      </c>
    </row>
    <row r="83" spans="1:2" x14ac:dyDescent="0.2">
      <c r="A83" s="21" t="s">
        <v>1435</v>
      </c>
      <c r="B83" s="21" t="s">
        <v>1436</v>
      </c>
    </row>
    <row r="84" spans="1:2" x14ac:dyDescent="0.2">
      <c r="A84" s="21" t="s">
        <v>1437</v>
      </c>
      <c r="B84" s="21" t="s">
        <v>1438</v>
      </c>
    </row>
    <row r="85" spans="1:2" x14ac:dyDescent="0.2">
      <c r="A85" s="21" t="s">
        <v>1439</v>
      </c>
      <c r="B85" s="21" t="s">
        <v>1440</v>
      </c>
    </row>
    <row r="86" spans="1:2" x14ac:dyDescent="0.2">
      <c r="A86" s="21" t="s">
        <v>1441</v>
      </c>
      <c r="B86" s="21" t="s">
        <v>1442</v>
      </c>
    </row>
    <row r="87" spans="1:2" x14ac:dyDescent="0.2">
      <c r="A87" s="21" t="s">
        <v>1443</v>
      </c>
      <c r="B87" s="21" t="s">
        <v>1444</v>
      </c>
    </row>
    <row r="88" spans="1:2" x14ac:dyDescent="0.2">
      <c r="A88" s="21" t="s">
        <v>1445</v>
      </c>
      <c r="B88" s="21" t="s">
        <v>1446</v>
      </c>
    </row>
    <row r="89" spans="1:2" x14ac:dyDescent="0.2">
      <c r="A89" s="21" t="s">
        <v>1447</v>
      </c>
      <c r="B89" s="21" t="s">
        <v>1448</v>
      </c>
    </row>
    <row r="90" spans="1:2" x14ac:dyDescent="0.2">
      <c r="A90" s="21" t="s">
        <v>1449</v>
      </c>
      <c r="B90" s="21" t="s">
        <v>1450</v>
      </c>
    </row>
    <row r="91" spans="1:2" x14ac:dyDescent="0.2">
      <c r="A91" s="21" t="s">
        <v>1451</v>
      </c>
      <c r="B91" s="21" t="s">
        <v>1452</v>
      </c>
    </row>
    <row r="92" spans="1:2" x14ac:dyDescent="0.2">
      <c r="A92" s="21" t="s">
        <v>1453</v>
      </c>
      <c r="B92" s="21" t="s">
        <v>1454</v>
      </c>
    </row>
    <row r="93" spans="1:2" x14ac:dyDescent="0.2">
      <c r="A93" s="21" t="s">
        <v>1455</v>
      </c>
      <c r="B93" s="21" t="s">
        <v>1456</v>
      </c>
    </row>
    <row r="94" spans="1:2" x14ac:dyDescent="0.2">
      <c r="A94" s="21" t="s">
        <v>1457</v>
      </c>
      <c r="B94" s="21" t="s">
        <v>1458</v>
      </c>
    </row>
    <row r="95" spans="1:2" x14ac:dyDescent="0.2">
      <c r="A95" s="21" t="s">
        <v>1459</v>
      </c>
      <c r="B95" s="21" t="s">
        <v>1460</v>
      </c>
    </row>
    <row r="96" spans="1:2" x14ac:dyDescent="0.2">
      <c r="A96" s="21" t="s">
        <v>1461</v>
      </c>
      <c r="B96" s="21" t="s">
        <v>1462</v>
      </c>
    </row>
    <row r="97" spans="1:2" x14ac:dyDescent="0.2">
      <c r="A97" s="21" t="s">
        <v>1463</v>
      </c>
      <c r="B97" s="21" t="s">
        <v>1464</v>
      </c>
    </row>
    <row r="98" spans="1:2" x14ac:dyDescent="0.2">
      <c r="A98" s="21" t="s">
        <v>1465</v>
      </c>
      <c r="B98" s="21" t="s">
        <v>1466</v>
      </c>
    </row>
    <row r="99" spans="1:2" x14ac:dyDescent="0.2">
      <c r="A99" s="21" t="s">
        <v>1467</v>
      </c>
      <c r="B99" s="21" t="s">
        <v>1468</v>
      </c>
    </row>
    <row r="100" spans="1:2" x14ac:dyDescent="0.2">
      <c r="A100" s="21" t="s">
        <v>1469</v>
      </c>
      <c r="B100" s="21" t="s">
        <v>1470</v>
      </c>
    </row>
    <row r="101" spans="1:2" x14ac:dyDescent="0.2">
      <c r="A101" s="21" t="s">
        <v>1471</v>
      </c>
      <c r="B101" s="21" t="s">
        <v>1472</v>
      </c>
    </row>
    <row r="102" spans="1:2" x14ac:dyDescent="0.2">
      <c r="A102" s="21" t="s">
        <v>1473</v>
      </c>
      <c r="B102" s="21" t="s">
        <v>1474</v>
      </c>
    </row>
    <row r="103" spans="1:2" x14ac:dyDescent="0.2">
      <c r="A103" s="21" t="s">
        <v>1475</v>
      </c>
      <c r="B103" s="21" t="s">
        <v>1476</v>
      </c>
    </row>
    <row r="104" spans="1:2" x14ac:dyDescent="0.2">
      <c r="A104" s="21" t="s">
        <v>1477</v>
      </c>
      <c r="B104" s="21" t="s">
        <v>1478</v>
      </c>
    </row>
    <row r="105" spans="1:2" x14ac:dyDescent="0.2">
      <c r="A105" s="21" t="s">
        <v>1479</v>
      </c>
      <c r="B105" s="21" t="s">
        <v>1480</v>
      </c>
    </row>
    <row r="106" spans="1:2" x14ac:dyDescent="0.2">
      <c r="A106" s="21" t="s">
        <v>1481</v>
      </c>
      <c r="B106" s="21" t="s">
        <v>1482</v>
      </c>
    </row>
    <row r="107" spans="1:2" x14ac:dyDescent="0.2">
      <c r="A107" s="21" t="s">
        <v>1483</v>
      </c>
      <c r="B107" s="21" t="s">
        <v>1484</v>
      </c>
    </row>
    <row r="108" spans="1:2" x14ac:dyDescent="0.2">
      <c r="A108" s="21" t="s">
        <v>1485</v>
      </c>
      <c r="B108" s="21" t="s">
        <v>1486</v>
      </c>
    </row>
    <row r="109" spans="1:2" x14ac:dyDescent="0.2">
      <c r="A109" s="21" t="s">
        <v>1487</v>
      </c>
      <c r="B109" s="21" t="s">
        <v>1488</v>
      </c>
    </row>
    <row r="110" spans="1:2" x14ac:dyDescent="0.2">
      <c r="A110" s="21" t="s">
        <v>1489</v>
      </c>
      <c r="B110" s="21" t="s">
        <v>1490</v>
      </c>
    </row>
    <row r="111" spans="1:2" x14ac:dyDescent="0.2">
      <c r="A111" s="21" t="s">
        <v>1491</v>
      </c>
      <c r="B111" s="21" t="s">
        <v>1492</v>
      </c>
    </row>
    <row r="112" spans="1:2" x14ac:dyDescent="0.2">
      <c r="A112" s="21" t="s">
        <v>1493</v>
      </c>
      <c r="B112" s="21" t="s">
        <v>1494</v>
      </c>
    </row>
    <row r="113" spans="1:2" x14ac:dyDescent="0.2">
      <c r="A113" s="21" t="s">
        <v>1495</v>
      </c>
      <c r="B113" s="21" t="s">
        <v>1496</v>
      </c>
    </row>
    <row r="114" spans="1:2" x14ac:dyDescent="0.2">
      <c r="A114" s="21" t="s">
        <v>1497</v>
      </c>
      <c r="B114" s="21" t="s">
        <v>1498</v>
      </c>
    </row>
    <row r="115" spans="1:2" x14ac:dyDescent="0.2">
      <c r="A115" s="21" t="s">
        <v>1499</v>
      </c>
      <c r="B115" s="21" t="s">
        <v>1500</v>
      </c>
    </row>
    <row r="116" spans="1:2" x14ac:dyDescent="0.2">
      <c r="A116" s="21" t="s">
        <v>1501</v>
      </c>
      <c r="B116" s="21" t="s">
        <v>1502</v>
      </c>
    </row>
    <row r="117" spans="1:2" x14ac:dyDescent="0.2">
      <c r="A117" s="21" t="s">
        <v>1503</v>
      </c>
      <c r="B117" s="21" t="s">
        <v>1504</v>
      </c>
    </row>
    <row r="118" spans="1:2" x14ac:dyDescent="0.2">
      <c r="A118" s="21" t="s">
        <v>196</v>
      </c>
      <c r="B118" s="21" t="s">
        <v>1505</v>
      </c>
    </row>
    <row r="119" spans="1:2" x14ac:dyDescent="0.2">
      <c r="A119" s="21" t="s">
        <v>1506</v>
      </c>
      <c r="B119" s="21" t="s">
        <v>1507</v>
      </c>
    </row>
    <row r="120" spans="1:2" x14ac:dyDescent="0.2">
      <c r="A120" s="21" t="s">
        <v>140</v>
      </c>
      <c r="B120" s="21" t="s">
        <v>1508</v>
      </c>
    </row>
    <row r="121" spans="1:2" x14ac:dyDescent="0.2">
      <c r="A121" s="21" t="s">
        <v>1509</v>
      </c>
      <c r="B121" s="21" t="s">
        <v>1510</v>
      </c>
    </row>
    <row r="122" spans="1:2" x14ac:dyDescent="0.2">
      <c r="A122" s="21" t="s">
        <v>1511</v>
      </c>
      <c r="B122" s="21" t="s">
        <v>1512</v>
      </c>
    </row>
    <row r="123" spans="1:2" x14ac:dyDescent="0.2">
      <c r="A123" s="21" t="s">
        <v>1513</v>
      </c>
      <c r="B123" s="21" t="s">
        <v>1514</v>
      </c>
    </row>
    <row r="124" spans="1:2" x14ac:dyDescent="0.2">
      <c r="A124" s="21" t="s">
        <v>1515</v>
      </c>
      <c r="B124" s="21" t="s">
        <v>1516</v>
      </c>
    </row>
    <row r="125" spans="1:2" x14ac:dyDescent="0.2">
      <c r="A125" s="21" t="s">
        <v>1517</v>
      </c>
      <c r="B125" s="21" t="s">
        <v>1518</v>
      </c>
    </row>
    <row r="126" spans="1:2" x14ac:dyDescent="0.2">
      <c r="A126" s="21" t="s">
        <v>1519</v>
      </c>
      <c r="B126" s="21" t="s">
        <v>1520</v>
      </c>
    </row>
    <row r="127" spans="1:2" x14ac:dyDescent="0.2">
      <c r="A127" s="21" t="s">
        <v>1521</v>
      </c>
      <c r="B127" s="21" t="s">
        <v>1522</v>
      </c>
    </row>
    <row r="128" spans="1:2" x14ac:dyDescent="0.2">
      <c r="A128" s="21" t="s">
        <v>1523</v>
      </c>
      <c r="B128" s="21" t="s">
        <v>1524</v>
      </c>
    </row>
    <row r="129" spans="1:2" x14ac:dyDescent="0.2">
      <c r="A129" s="21" t="s">
        <v>1525</v>
      </c>
      <c r="B129" s="21" t="s">
        <v>1526</v>
      </c>
    </row>
    <row r="130" spans="1:2" x14ac:dyDescent="0.2">
      <c r="A130" s="21" t="s">
        <v>1527</v>
      </c>
      <c r="B130" s="21" t="s">
        <v>1528</v>
      </c>
    </row>
    <row r="131" spans="1:2" x14ac:dyDescent="0.2">
      <c r="A131" s="21" t="s">
        <v>1529</v>
      </c>
      <c r="B131" s="21" t="s">
        <v>1530</v>
      </c>
    </row>
    <row r="132" spans="1:2" x14ac:dyDescent="0.2">
      <c r="A132" s="21" t="s">
        <v>1531</v>
      </c>
      <c r="B132" s="21" t="s">
        <v>1532</v>
      </c>
    </row>
    <row r="133" spans="1:2" x14ac:dyDescent="0.2">
      <c r="A133" s="21" t="s">
        <v>1533</v>
      </c>
      <c r="B133" s="21" t="s">
        <v>1534</v>
      </c>
    </row>
    <row r="134" spans="1:2" x14ac:dyDescent="0.2">
      <c r="A134" s="21" t="s">
        <v>1535</v>
      </c>
      <c r="B134" s="21" t="s">
        <v>1536</v>
      </c>
    </row>
    <row r="135" spans="1:2" x14ac:dyDescent="0.2">
      <c r="A135" s="21" t="s">
        <v>1537</v>
      </c>
      <c r="B135" s="21" t="s">
        <v>1538</v>
      </c>
    </row>
    <row r="136" spans="1:2" x14ac:dyDescent="0.2">
      <c r="A136" s="21" t="s">
        <v>1539</v>
      </c>
      <c r="B136" s="21" t="s">
        <v>1540</v>
      </c>
    </row>
    <row r="137" spans="1:2" x14ac:dyDescent="0.2">
      <c r="A137" s="21" t="s">
        <v>1541</v>
      </c>
      <c r="B137" s="21" t="s">
        <v>1542</v>
      </c>
    </row>
    <row r="138" spans="1:2" x14ac:dyDescent="0.2">
      <c r="A138" s="21" t="s">
        <v>1543</v>
      </c>
      <c r="B138" s="21" t="s">
        <v>1544</v>
      </c>
    </row>
    <row r="139" spans="1:2" x14ac:dyDescent="0.2">
      <c r="A139" s="21" t="s">
        <v>1545</v>
      </c>
      <c r="B139" s="21" t="s">
        <v>1546</v>
      </c>
    </row>
    <row r="140" spans="1:2" x14ac:dyDescent="0.2">
      <c r="A140" s="21" t="s">
        <v>1547</v>
      </c>
      <c r="B140" s="21" t="s">
        <v>1548</v>
      </c>
    </row>
    <row r="141" spans="1:2" x14ac:dyDescent="0.2">
      <c r="A141" s="21" t="s">
        <v>1549</v>
      </c>
      <c r="B141" s="21" t="s">
        <v>1550</v>
      </c>
    </row>
    <row r="142" spans="1:2" x14ac:dyDescent="0.2">
      <c r="A142" s="21" t="s">
        <v>1551</v>
      </c>
      <c r="B142" s="21" t="s">
        <v>1552</v>
      </c>
    </row>
    <row r="143" spans="1:2" x14ac:dyDescent="0.2">
      <c r="A143" s="21" t="s">
        <v>1553</v>
      </c>
      <c r="B143" s="21" t="s">
        <v>1554</v>
      </c>
    </row>
    <row r="144" spans="1:2" x14ac:dyDescent="0.2">
      <c r="A144" s="21" t="s">
        <v>1555</v>
      </c>
      <c r="B144" s="21" t="s">
        <v>1556</v>
      </c>
    </row>
    <row r="145" spans="1:2" x14ac:dyDescent="0.2">
      <c r="A145" s="21" t="s">
        <v>1557</v>
      </c>
      <c r="B145" s="21" t="s">
        <v>1558</v>
      </c>
    </row>
    <row r="146" spans="1:2" x14ac:dyDescent="0.2">
      <c r="A146" s="21" t="s">
        <v>1559</v>
      </c>
      <c r="B146" s="21" t="s">
        <v>1560</v>
      </c>
    </row>
    <row r="147" spans="1:2" x14ac:dyDescent="0.2">
      <c r="A147" s="21" t="s">
        <v>1561</v>
      </c>
      <c r="B147" s="21" t="s">
        <v>1562</v>
      </c>
    </row>
    <row r="148" spans="1:2" x14ac:dyDescent="0.2">
      <c r="A148" s="21" t="s">
        <v>1563</v>
      </c>
      <c r="B148" s="21" t="s">
        <v>1564</v>
      </c>
    </row>
    <row r="149" spans="1:2" x14ac:dyDescent="0.2">
      <c r="A149" s="21" t="s">
        <v>1565</v>
      </c>
      <c r="B149" s="21" t="s">
        <v>1566</v>
      </c>
    </row>
    <row r="150" spans="1:2" x14ac:dyDescent="0.2">
      <c r="A150" s="21" t="s">
        <v>1567</v>
      </c>
      <c r="B150" s="21" t="s">
        <v>1568</v>
      </c>
    </row>
    <row r="151" spans="1:2" x14ac:dyDescent="0.2">
      <c r="A151" s="21" t="s">
        <v>1569</v>
      </c>
      <c r="B151" s="21" t="s">
        <v>1570</v>
      </c>
    </row>
    <row r="152" spans="1:2" x14ac:dyDescent="0.2">
      <c r="A152" s="21" t="s">
        <v>1571</v>
      </c>
      <c r="B152" s="21" t="s">
        <v>1572</v>
      </c>
    </row>
    <row r="153" spans="1:2" x14ac:dyDescent="0.2">
      <c r="A153" s="21" t="s">
        <v>1573</v>
      </c>
      <c r="B153" s="21" t="s">
        <v>1574</v>
      </c>
    </row>
    <row r="154" spans="1:2" x14ac:dyDescent="0.2">
      <c r="A154" s="21" t="s">
        <v>1575</v>
      </c>
      <c r="B154" s="21" t="s">
        <v>1576</v>
      </c>
    </row>
    <row r="155" spans="1:2" x14ac:dyDescent="0.2">
      <c r="A155" s="21" t="s">
        <v>1577</v>
      </c>
      <c r="B155" s="21" t="s">
        <v>1578</v>
      </c>
    </row>
    <row r="156" spans="1:2" x14ac:dyDescent="0.2">
      <c r="A156" s="21" t="s">
        <v>1579</v>
      </c>
      <c r="B156" s="21" t="s">
        <v>1580</v>
      </c>
    </row>
    <row r="157" spans="1:2" x14ac:dyDescent="0.2">
      <c r="A157" s="21" t="s">
        <v>1581</v>
      </c>
      <c r="B157" s="21" t="s">
        <v>1582</v>
      </c>
    </row>
    <row r="158" spans="1:2" x14ac:dyDescent="0.2">
      <c r="A158" s="21" t="s">
        <v>1583</v>
      </c>
      <c r="B158" s="21" t="s">
        <v>1584</v>
      </c>
    </row>
    <row r="159" spans="1:2" x14ac:dyDescent="0.2">
      <c r="A159" s="21" t="s">
        <v>1585</v>
      </c>
      <c r="B159" s="21" t="s">
        <v>1586</v>
      </c>
    </row>
    <row r="160" spans="1:2" x14ac:dyDescent="0.2">
      <c r="A160" s="21" t="s">
        <v>1587</v>
      </c>
      <c r="B160" s="21" t="s">
        <v>1588</v>
      </c>
    </row>
    <row r="161" spans="1:2" x14ac:dyDescent="0.2">
      <c r="A161" s="21" t="s">
        <v>1589</v>
      </c>
      <c r="B161" s="21" t="s">
        <v>1590</v>
      </c>
    </row>
    <row r="162" spans="1:2" x14ac:dyDescent="0.2">
      <c r="A162" s="21" t="s">
        <v>1591</v>
      </c>
      <c r="B162" s="21" t="s">
        <v>1592</v>
      </c>
    </row>
    <row r="163" spans="1:2" x14ac:dyDescent="0.2">
      <c r="A163" s="21" t="s">
        <v>1593</v>
      </c>
      <c r="B163" s="21" t="s">
        <v>1594</v>
      </c>
    </row>
    <row r="164" spans="1:2" x14ac:dyDescent="0.2">
      <c r="A164" s="21" t="s">
        <v>1595</v>
      </c>
      <c r="B164" s="21" t="s">
        <v>1596</v>
      </c>
    </row>
    <row r="165" spans="1:2" x14ac:dyDescent="0.2">
      <c r="A165" s="21" t="s">
        <v>1597</v>
      </c>
      <c r="B165" s="21" t="s">
        <v>1598</v>
      </c>
    </row>
    <row r="166" spans="1:2" x14ac:dyDescent="0.2">
      <c r="A166" s="21" t="s">
        <v>1599</v>
      </c>
      <c r="B166" s="21" t="s">
        <v>1600</v>
      </c>
    </row>
    <row r="167" spans="1:2" x14ac:dyDescent="0.2">
      <c r="A167" s="21" t="s">
        <v>1601</v>
      </c>
      <c r="B167" s="21" t="s">
        <v>1602</v>
      </c>
    </row>
    <row r="168" spans="1:2" x14ac:dyDescent="0.2">
      <c r="A168" s="21" t="s">
        <v>1603</v>
      </c>
      <c r="B168" s="21" t="s">
        <v>1604</v>
      </c>
    </row>
    <row r="169" spans="1:2" x14ac:dyDescent="0.2">
      <c r="A169" s="21" t="s">
        <v>1605</v>
      </c>
      <c r="B169" s="21" t="s">
        <v>1606</v>
      </c>
    </row>
    <row r="170" spans="1:2" x14ac:dyDescent="0.2">
      <c r="A170" s="21" t="s">
        <v>1607</v>
      </c>
      <c r="B170" s="21" t="s">
        <v>1608</v>
      </c>
    </row>
    <row r="171" spans="1:2" x14ac:dyDescent="0.2">
      <c r="A171" s="21" t="s">
        <v>1609</v>
      </c>
      <c r="B171" s="21" t="s">
        <v>1610</v>
      </c>
    </row>
    <row r="172" spans="1:2" x14ac:dyDescent="0.2">
      <c r="A172" s="21" t="s">
        <v>1611</v>
      </c>
      <c r="B172" s="21" t="s">
        <v>1612</v>
      </c>
    </row>
    <row r="173" spans="1:2" x14ac:dyDescent="0.2">
      <c r="A173" s="21" t="s">
        <v>1613</v>
      </c>
      <c r="B173" s="21" t="s">
        <v>1614</v>
      </c>
    </row>
    <row r="174" spans="1:2" x14ac:dyDescent="0.2">
      <c r="A174" s="21" t="s">
        <v>1615</v>
      </c>
      <c r="B174" s="21" t="s">
        <v>1616</v>
      </c>
    </row>
    <row r="175" spans="1:2" x14ac:dyDescent="0.2">
      <c r="A175" s="21" t="s">
        <v>1617</v>
      </c>
      <c r="B175" s="21" t="s">
        <v>1618</v>
      </c>
    </row>
    <row r="176" spans="1:2" x14ac:dyDescent="0.2">
      <c r="A176" s="21" t="s">
        <v>1619</v>
      </c>
      <c r="B176" s="21" t="s">
        <v>1620</v>
      </c>
    </row>
    <row r="177" spans="1:2" x14ac:dyDescent="0.2">
      <c r="A177" s="21" t="s">
        <v>1621</v>
      </c>
      <c r="B177" s="21" t="s">
        <v>1622</v>
      </c>
    </row>
    <row r="178" spans="1:2" x14ac:dyDescent="0.2">
      <c r="A178" s="21" t="s">
        <v>1623</v>
      </c>
      <c r="B178" s="21" t="s">
        <v>1624</v>
      </c>
    </row>
    <row r="179" spans="1:2" x14ac:dyDescent="0.2">
      <c r="A179" s="21" t="s">
        <v>1625</v>
      </c>
      <c r="B179" s="21" t="s">
        <v>1626</v>
      </c>
    </row>
    <row r="180" spans="1:2" x14ac:dyDescent="0.2">
      <c r="A180" s="21" t="s">
        <v>1627</v>
      </c>
      <c r="B180" s="21" t="s">
        <v>1628</v>
      </c>
    </row>
    <row r="181" spans="1:2" x14ac:dyDescent="0.2">
      <c r="A181" s="21" t="s">
        <v>1629</v>
      </c>
      <c r="B181" s="21" t="s">
        <v>1630</v>
      </c>
    </row>
    <row r="182" spans="1:2" x14ac:dyDescent="0.2">
      <c r="A182" s="21" t="s">
        <v>1631</v>
      </c>
      <c r="B182" s="21" t="s">
        <v>1632</v>
      </c>
    </row>
    <row r="183" spans="1:2" x14ac:dyDescent="0.2">
      <c r="A183" s="21" t="s">
        <v>1633</v>
      </c>
      <c r="B183" s="21" t="s">
        <v>1634</v>
      </c>
    </row>
    <row r="184" spans="1:2" x14ac:dyDescent="0.2">
      <c r="A184" s="21" t="s">
        <v>1635</v>
      </c>
      <c r="B184" s="21" t="s">
        <v>1636</v>
      </c>
    </row>
    <row r="185" spans="1:2" x14ac:dyDescent="0.2">
      <c r="A185" s="21" t="s">
        <v>1637</v>
      </c>
      <c r="B185" s="21" t="s">
        <v>1638</v>
      </c>
    </row>
    <row r="186" spans="1:2" x14ac:dyDescent="0.2">
      <c r="A186" s="21" t="s">
        <v>293</v>
      </c>
      <c r="B186" s="21" t="s">
        <v>1639</v>
      </c>
    </row>
    <row r="187" spans="1:2" x14ac:dyDescent="0.2">
      <c r="A187" s="21" t="s">
        <v>1640</v>
      </c>
      <c r="B187" s="21" t="s">
        <v>1641</v>
      </c>
    </row>
    <row r="188" spans="1:2" x14ac:dyDescent="0.2">
      <c r="A188" s="21" t="s">
        <v>1642</v>
      </c>
      <c r="B188" s="21" t="s">
        <v>1643</v>
      </c>
    </row>
    <row r="189" spans="1:2" x14ac:dyDescent="0.2">
      <c r="A189" s="21" t="s">
        <v>1644</v>
      </c>
      <c r="B189" s="21" t="s">
        <v>1645</v>
      </c>
    </row>
    <row r="190" spans="1:2" x14ac:dyDescent="0.2">
      <c r="A190" s="21" t="s">
        <v>1646</v>
      </c>
      <c r="B190" s="21" t="s">
        <v>1647</v>
      </c>
    </row>
    <row r="191" spans="1:2" x14ac:dyDescent="0.2">
      <c r="A191" s="21" t="s">
        <v>1648</v>
      </c>
      <c r="B191" s="21" t="s">
        <v>1649</v>
      </c>
    </row>
    <row r="192" spans="1:2" x14ac:dyDescent="0.2">
      <c r="A192" s="21" t="s">
        <v>1650</v>
      </c>
      <c r="B192" s="21" t="s">
        <v>1651</v>
      </c>
    </row>
    <row r="193" spans="1:2" x14ac:dyDescent="0.2">
      <c r="A193" s="21" t="s">
        <v>1652</v>
      </c>
      <c r="B193" s="21" t="s">
        <v>1653</v>
      </c>
    </row>
    <row r="194" spans="1:2" x14ac:dyDescent="0.2">
      <c r="A194" s="21" t="s">
        <v>1654</v>
      </c>
      <c r="B194" s="21" t="s">
        <v>1655</v>
      </c>
    </row>
    <row r="195" spans="1:2" x14ac:dyDescent="0.2">
      <c r="A195" s="21" t="s">
        <v>1656</v>
      </c>
      <c r="B195" s="21" t="s">
        <v>1657</v>
      </c>
    </row>
    <row r="196" spans="1:2" x14ac:dyDescent="0.2">
      <c r="A196" s="21" t="s">
        <v>1658</v>
      </c>
      <c r="B196" s="21" t="s">
        <v>1659</v>
      </c>
    </row>
    <row r="197" spans="1:2" x14ac:dyDescent="0.2">
      <c r="A197" s="21" t="s">
        <v>1660</v>
      </c>
      <c r="B197" s="21" t="s">
        <v>1661</v>
      </c>
    </row>
    <row r="198" spans="1:2" x14ac:dyDescent="0.2">
      <c r="A198" s="21" t="s">
        <v>1662</v>
      </c>
      <c r="B198" s="21" t="s">
        <v>1663</v>
      </c>
    </row>
    <row r="199" spans="1:2" x14ac:dyDescent="0.2">
      <c r="A199" s="21" t="s">
        <v>1664</v>
      </c>
      <c r="B199" s="21" t="s">
        <v>1665</v>
      </c>
    </row>
    <row r="200" spans="1:2" x14ac:dyDescent="0.2">
      <c r="A200" s="21" t="s">
        <v>1666</v>
      </c>
      <c r="B200" s="21" t="s">
        <v>1667</v>
      </c>
    </row>
    <row r="201" spans="1:2" x14ac:dyDescent="0.2">
      <c r="A201" s="21" t="s">
        <v>1668</v>
      </c>
      <c r="B201" s="21" t="s">
        <v>1669</v>
      </c>
    </row>
    <row r="202" spans="1:2" x14ac:dyDescent="0.2">
      <c r="A202" s="21" t="s">
        <v>1670</v>
      </c>
      <c r="B202" s="21" t="s">
        <v>1671</v>
      </c>
    </row>
    <row r="203" spans="1:2" x14ac:dyDescent="0.2">
      <c r="A203" s="21" t="s">
        <v>1672</v>
      </c>
      <c r="B203" s="21" t="s">
        <v>1673</v>
      </c>
    </row>
    <row r="204" spans="1:2" x14ac:dyDescent="0.2">
      <c r="A204" s="21" t="s">
        <v>1674</v>
      </c>
      <c r="B204" s="21" t="s">
        <v>1675</v>
      </c>
    </row>
    <row r="205" spans="1:2" x14ac:dyDescent="0.2">
      <c r="A205" s="21" t="s">
        <v>1676</v>
      </c>
      <c r="B205" s="21" t="s">
        <v>1677</v>
      </c>
    </row>
    <row r="206" spans="1:2" x14ac:dyDescent="0.2">
      <c r="A206" s="21" t="s">
        <v>1678</v>
      </c>
      <c r="B206" s="21" t="s">
        <v>1679</v>
      </c>
    </row>
    <row r="207" spans="1:2" x14ac:dyDescent="0.2">
      <c r="A207" s="21" t="s">
        <v>1680</v>
      </c>
      <c r="B207" s="21" t="s">
        <v>1681</v>
      </c>
    </row>
    <row r="208" spans="1:2" x14ac:dyDescent="0.2">
      <c r="A208" s="21" t="s">
        <v>1682</v>
      </c>
      <c r="B208" s="21" t="s">
        <v>1683</v>
      </c>
    </row>
    <row r="209" spans="1:2" x14ac:dyDescent="0.2">
      <c r="A209" s="21" t="s">
        <v>1684</v>
      </c>
      <c r="B209" s="21" t="s">
        <v>1685</v>
      </c>
    </row>
    <row r="210" spans="1:2" x14ac:dyDescent="0.2">
      <c r="A210" s="21" t="s">
        <v>1686</v>
      </c>
      <c r="B210" s="21" t="s">
        <v>1687</v>
      </c>
    </row>
    <row r="211" spans="1:2" x14ac:dyDescent="0.2">
      <c r="A211" s="21" t="s">
        <v>1688</v>
      </c>
      <c r="B211" s="21" t="s">
        <v>1689</v>
      </c>
    </row>
    <row r="212" spans="1:2" x14ac:dyDescent="0.2">
      <c r="A212" s="21" t="s">
        <v>1690</v>
      </c>
      <c r="B212" s="21" t="s">
        <v>1691</v>
      </c>
    </row>
    <row r="213" spans="1:2" x14ac:dyDescent="0.2">
      <c r="A213" s="21" t="s">
        <v>1692</v>
      </c>
      <c r="B213" s="21" t="s">
        <v>1693</v>
      </c>
    </row>
    <row r="214" spans="1:2" x14ac:dyDescent="0.2">
      <c r="A214" s="21" t="s">
        <v>1694</v>
      </c>
      <c r="B214" s="21" t="s">
        <v>1695</v>
      </c>
    </row>
    <row r="215" spans="1:2" x14ac:dyDescent="0.2">
      <c r="A215" s="21" t="s">
        <v>1696</v>
      </c>
      <c r="B215" s="21" t="s">
        <v>1697</v>
      </c>
    </row>
    <row r="216" spans="1:2" x14ac:dyDescent="0.2">
      <c r="A216" s="21" t="s">
        <v>1698</v>
      </c>
      <c r="B216" s="21" t="s">
        <v>1699</v>
      </c>
    </row>
    <row r="217" spans="1:2" x14ac:dyDescent="0.2">
      <c r="A217" s="21" t="s">
        <v>1700</v>
      </c>
      <c r="B217" s="21" t="s">
        <v>1701</v>
      </c>
    </row>
    <row r="218" spans="1:2" x14ac:dyDescent="0.2">
      <c r="A218" s="21" t="s">
        <v>1702</v>
      </c>
      <c r="B218" s="21" t="s">
        <v>1703</v>
      </c>
    </row>
    <row r="219" spans="1:2" x14ac:dyDescent="0.2">
      <c r="A219" s="21" t="s">
        <v>1704</v>
      </c>
      <c r="B219" s="21" t="s">
        <v>1705</v>
      </c>
    </row>
    <row r="220" spans="1:2" x14ac:dyDescent="0.2">
      <c r="A220" s="21" t="s">
        <v>1706</v>
      </c>
      <c r="B220" s="21" t="s">
        <v>1707</v>
      </c>
    </row>
    <row r="221" spans="1:2" x14ac:dyDescent="0.2">
      <c r="A221" s="21" t="s">
        <v>1708</v>
      </c>
      <c r="B221" s="21" t="s">
        <v>1709</v>
      </c>
    </row>
    <row r="222" spans="1:2" x14ac:dyDescent="0.2">
      <c r="A222" s="21" t="s">
        <v>1710</v>
      </c>
      <c r="B222" s="21" t="s">
        <v>1711</v>
      </c>
    </row>
    <row r="223" spans="1:2" x14ac:dyDescent="0.2">
      <c r="A223" s="21" t="s">
        <v>1712</v>
      </c>
      <c r="B223" s="21" t="s">
        <v>1713</v>
      </c>
    </row>
    <row r="224" spans="1:2" x14ac:dyDescent="0.2">
      <c r="A224" s="21" t="s">
        <v>1714</v>
      </c>
      <c r="B224" s="21" t="s">
        <v>1715</v>
      </c>
    </row>
    <row r="225" spans="1:2" x14ac:dyDescent="0.2">
      <c r="A225" s="21" t="s">
        <v>1716</v>
      </c>
      <c r="B225" s="21" t="s">
        <v>1717</v>
      </c>
    </row>
    <row r="226" spans="1:2" x14ac:dyDescent="0.2">
      <c r="A226" s="21" t="s">
        <v>1718</v>
      </c>
      <c r="B226" s="21" t="s">
        <v>1719</v>
      </c>
    </row>
    <row r="227" spans="1:2" x14ac:dyDescent="0.2">
      <c r="A227" s="21" t="s">
        <v>1720</v>
      </c>
      <c r="B227" s="21" t="s">
        <v>1721</v>
      </c>
    </row>
    <row r="228" spans="1:2" x14ac:dyDescent="0.2">
      <c r="A228" s="21" t="s">
        <v>1722</v>
      </c>
      <c r="B228" s="21" t="s">
        <v>1723</v>
      </c>
    </row>
    <row r="229" spans="1:2" x14ac:dyDescent="0.2">
      <c r="A229" s="21" t="s">
        <v>1724</v>
      </c>
      <c r="B229" s="21" t="s">
        <v>1725</v>
      </c>
    </row>
    <row r="230" spans="1:2" x14ac:dyDescent="0.2">
      <c r="A230" s="21" t="s">
        <v>1726</v>
      </c>
      <c r="B230" s="21" t="s">
        <v>1727</v>
      </c>
    </row>
    <row r="231" spans="1:2" x14ac:dyDescent="0.2">
      <c r="A231" s="21" t="s">
        <v>1728</v>
      </c>
      <c r="B231" s="21" t="s">
        <v>1729</v>
      </c>
    </row>
    <row r="232" spans="1:2" x14ac:dyDescent="0.2">
      <c r="A232" s="21" t="s">
        <v>1730</v>
      </c>
      <c r="B232" s="21" t="s">
        <v>1731</v>
      </c>
    </row>
    <row r="233" spans="1:2" x14ac:dyDescent="0.2">
      <c r="A233" s="21" t="s">
        <v>1732</v>
      </c>
      <c r="B233" s="21" t="s">
        <v>1733</v>
      </c>
    </row>
    <row r="234" spans="1:2" x14ac:dyDescent="0.2">
      <c r="A234" s="21" t="s">
        <v>1734</v>
      </c>
      <c r="B234" s="21" t="s">
        <v>1735</v>
      </c>
    </row>
    <row r="235" spans="1:2" x14ac:dyDescent="0.2">
      <c r="A235" s="21" t="s">
        <v>1736</v>
      </c>
      <c r="B235" s="21" t="s">
        <v>1737</v>
      </c>
    </row>
    <row r="236" spans="1:2" x14ac:dyDescent="0.2">
      <c r="A236" s="21" t="s">
        <v>518</v>
      </c>
      <c r="B236" s="21" t="s">
        <v>1738</v>
      </c>
    </row>
    <row r="237" spans="1:2" x14ac:dyDescent="0.2">
      <c r="A237" s="21" t="s">
        <v>1739</v>
      </c>
      <c r="B237" s="21" t="s">
        <v>1740</v>
      </c>
    </row>
    <row r="238" spans="1:2" x14ac:dyDescent="0.2">
      <c r="A238" s="21" t="s">
        <v>1741</v>
      </c>
      <c r="B238" s="21" t="s">
        <v>1742</v>
      </c>
    </row>
    <row r="239" spans="1:2" x14ac:dyDescent="0.2">
      <c r="A239" s="21" t="s">
        <v>1743</v>
      </c>
      <c r="B239" s="21" t="s">
        <v>1744</v>
      </c>
    </row>
    <row r="240" spans="1:2" x14ac:dyDescent="0.2">
      <c r="A240" s="21" t="s">
        <v>1745</v>
      </c>
      <c r="B240" s="21" t="s">
        <v>1746</v>
      </c>
    </row>
    <row r="241" spans="1:2" x14ac:dyDescent="0.2">
      <c r="A241" s="21" t="s">
        <v>1747</v>
      </c>
      <c r="B241" s="21" t="s">
        <v>1748</v>
      </c>
    </row>
    <row r="242" spans="1:2" x14ac:dyDescent="0.2">
      <c r="A242" s="21" t="s">
        <v>1749</v>
      </c>
      <c r="B242" s="21" t="s">
        <v>1750</v>
      </c>
    </row>
    <row r="243" spans="1:2" x14ac:dyDescent="0.2">
      <c r="A243" s="21" t="s">
        <v>1751</v>
      </c>
      <c r="B243" s="21" t="s">
        <v>1752</v>
      </c>
    </row>
    <row r="244" spans="1:2" x14ac:dyDescent="0.2">
      <c r="A244" s="21" t="s">
        <v>1753</v>
      </c>
      <c r="B244" s="21" t="s">
        <v>1754</v>
      </c>
    </row>
    <row r="245" spans="1:2" x14ac:dyDescent="0.2">
      <c r="A245" s="21" t="s">
        <v>1755</v>
      </c>
      <c r="B245" s="21" t="s">
        <v>1756</v>
      </c>
    </row>
    <row r="246" spans="1:2" x14ac:dyDescent="0.2">
      <c r="A246" s="21" t="s">
        <v>1757</v>
      </c>
      <c r="B246" s="21" t="s">
        <v>1758</v>
      </c>
    </row>
    <row r="247" spans="1:2" x14ac:dyDescent="0.2">
      <c r="A247" s="21" t="s">
        <v>1759</v>
      </c>
      <c r="B247" s="21" t="s">
        <v>1760</v>
      </c>
    </row>
    <row r="248" spans="1:2" x14ac:dyDescent="0.2">
      <c r="A248" s="21" t="s">
        <v>1761</v>
      </c>
      <c r="B248" s="21" t="s">
        <v>1762</v>
      </c>
    </row>
    <row r="249" spans="1:2" x14ac:dyDescent="0.2">
      <c r="A249" s="21" t="s">
        <v>1763</v>
      </c>
      <c r="B249" s="21" t="s">
        <v>1764</v>
      </c>
    </row>
    <row r="250" spans="1:2" x14ac:dyDescent="0.2">
      <c r="A250" s="21" t="s">
        <v>1765</v>
      </c>
      <c r="B250" s="21" t="s">
        <v>1766</v>
      </c>
    </row>
    <row r="251" spans="1:2" x14ac:dyDescent="0.2">
      <c r="A251" s="21" t="s">
        <v>1767</v>
      </c>
      <c r="B251" s="21" t="s">
        <v>1768</v>
      </c>
    </row>
    <row r="252" spans="1:2" x14ac:dyDescent="0.2">
      <c r="A252" s="21" t="s">
        <v>1769</v>
      </c>
      <c r="B252" s="21" t="s">
        <v>1770</v>
      </c>
    </row>
    <row r="253" spans="1:2" x14ac:dyDescent="0.2">
      <c r="A253" s="21" t="s">
        <v>1771</v>
      </c>
      <c r="B253" s="21" t="s">
        <v>1772</v>
      </c>
    </row>
    <row r="254" spans="1:2" x14ac:dyDescent="0.2">
      <c r="A254" s="21" t="s">
        <v>1773</v>
      </c>
      <c r="B254" s="21" t="s">
        <v>1774</v>
      </c>
    </row>
    <row r="255" spans="1:2" x14ac:dyDescent="0.2">
      <c r="A255" s="21" t="s">
        <v>1775</v>
      </c>
      <c r="B255" s="21" t="s">
        <v>1776</v>
      </c>
    </row>
    <row r="256" spans="1:2" x14ac:dyDescent="0.2">
      <c r="A256" s="21" t="s">
        <v>1777</v>
      </c>
      <c r="B256" s="21" t="s">
        <v>1778</v>
      </c>
    </row>
    <row r="257" spans="1:2" x14ac:dyDescent="0.2">
      <c r="A257" s="21" t="s">
        <v>1779</v>
      </c>
      <c r="B257" s="21" t="s">
        <v>1780</v>
      </c>
    </row>
    <row r="258" spans="1:2" x14ac:dyDescent="0.2">
      <c r="A258" s="21" t="s">
        <v>1781</v>
      </c>
      <c r="B258" s="21" t="s">
        <v>1782</v>
      </c>
    </row>
    <row r="259" spans="1:2" x14ac:dyDescent="0.2">
      <c r="A259" s="21" t="s">
        <v>1783</v>
      </c>
      <c r="B259" s="21" t="s">
        <v>1784</v>
      </c>
    </row>
    <row r="260" spans="1:2" x14ac:dyDescent="0.2">
      <c r="A260" s="21" t="s">
        <v>1785</v>
      </c>
      <c r="B260" s="21" t="s">
        <v>1786</v>
      </c>
    </row>
    <row r="261" spans="1:2" x14ac:dyDescent="0.2">
      <c r="A261" s="21" t="s">
        <v>1787</v>
      </c>
      <c r="B261" s="21" t="s">
        <v>1788</v>
      </c>
    </row>
    <row r="262" spans="1:2" x14ac:dyDescent="0.2">
      <c r="A262" s="21" t="s">
        <v>1789</v>
      </c>
      <c r="B262" s="21" t="s">
        <v>1790</v>
      </c>
    </row>
    <row r="263" spans="1:2" x14ac:dyDescent="0.2">
      <c r="A263" s="21" t="s">
        <v>1791</v>
      </c>
      <c r="B263" s="21" t="s">
        <v>1792</v>
      </c>
    </row>
    <row r="264" spans="1:2" x14ac:dyDescent="0.2">
      <c r="A264" s="21" t="s">
        <v>1793</v>
      </c>
      <c r="B264" s="21" t="s">
        <v>1794</v>
      </c>
    </row>
    <row r="265" spans="1:2" x14ac:dyDescent="0.2">
      <c r="A265" s="21" t="s">
        <v>1795</v>
      </c>
      <c r="B265" s="21" t="s">
        <v>1796</v>
      </c>
    </row>
    <row r="266" spans="1:2" x14ac:dyDescent="0.2">
      <c r="A266" s="21" t="s">
        <v>1797</v>
      </c>
      <c r="B266" s="21" t="s">
        <v>1798</v>
      </c>
    </row>
    <row r="267" spans="1:2" x14ac:dyDescent="0.2">
      <c r="A267" s="21" t="s">
        <v>1799</v>
      </c>
      <c r="B267" s="21" t="s">
        <v>1800</v>
      </c>
    </row>
    <row r="268" spans="1:2" x14ac:dyDescent="0.2">
      <c r="A268" s="21" t="s">
        <v>1801</v>
      </c>
      <c r="B268" s="21" t="s">
        <v>1802</v>
      </c>
    </row>
    <row r="269" spans="1:2" x14ac:dyDescent="0.2">
      <c r="A269" s="21" t="s">
        <v>1803</v>
      </c>
      <c r="B269" s="21" t="s">
        <v>1804</v>
      </c>
    </row>
    <row r="270" spans="1:2" x14ac:dyDescent="0.2">
      <c r="A270" s="21" t="s">
        <v>1805</v>
      </c>
      <c r="B270" s="21" t="s">
        <v>1806</v>
      </c>
    </row>
    <row r="271" spans="1:2" x14ac:dyDescent="0.2">
      <c r="A271" s="21" t="s">
        <v>1807</v>
      </c>
      <c r="B271" s="21" t="s">
        <v>1808</v>
      </c>
    </row>
    <row r="272" spans="1:2" x14ac:dyDescent="0.2">
      <c r="A272" s="21" t="s">
        <v>1809</v>
      </c>
      <c r="B272" s="21" t="s">
        <v>1810</v>
      </c>
    </row>
    <row r="273" spans="1:2" x14ac:dyDescent="0.2">
      <c r="A273" s="21" t="s">
        <v>1811</v>
      </c>
      <c r="B273" s="21" t="s">
        <v>1812</v>
      </c>
    </row>
    <row r="274" spans="1:2" x14ac:dyDescent="0.2">
      <c r="A274" s="21" t="s">
        <v>1813</v>
      </c>
      <c r="B274" s="21" t="s">
        <v>1814</v>
      </c>
    </row>
    <row r="275" spans="1:2" x14ac:dyDescent="0.2">
      <c r="A275" s="21" t="s">
        <v>1815</v>
      </c>
      <c r="B275" s="21" t="s">
        <v>1816</v>
      </c>
    </row>
    <row r="276" spans="1:2" x14ac:dyDescent="0.2">
      <c r="A276" s="21" t="s">
        <v>1817</v>
      </c>
      <c r="B276" s="21" t="s">
        <v>1818</v>
      </c>
    </row>
    <row r="277" spans="1:2" x14ac:dyDescent="0.2">
      <c r="A277" s="21" t="s">
        <v>1819</v>
      </c>
      <c r="B277" s="21" t="s">
        <v>1820</v>
      </c>
    </row>
    <row r="278" spans="1:2" x14ac:dyDescent="0.2">
      <c r="A278" s="21" t="s">
        <v>1821</v>
      </c>
      <c r="B278" s="21" t="s">
        <v>1822</v>
      </c>
    </row>
    <row r="279" spans="1:2" x14ac:dyDescent="0.2">
      <c r="A279" s="21" t="s">
        <v>1823</v>
      </c>
      <c r="B279" s="21" t="s">
        <v>1824</v>
      </c>
    </row>
    <row r="280" spans="1:2" x14ac:dyDescent="0.2">
      <c r="A280" s="21" t="s">
        <v>1825</v>
      </c>
      <c r="B280" s="21" t="s">
        <v>1826</v>
      </c>
    </row>
    <row r="281" spans="1:2" x14ac:dyDescent="0.2">
      <c r="A281" s="21" t="s">
        <v>1827</v>
      </c>
      <c r="B281" s="21" t="s">
        <v>1828</v>
      </c>
    </row>
    <row r="282" spans="1:2" x14ac:dyDescent="0.2">
      <c r="A282" s="21" t="s">
        <v>1829</v>
      </c>
      <c r="B282" s="21" t="s">
        <v>1830</v>
      </c>
    </row>
    <row r="283" spans="1:2" x14ac:dyDescent="0.2">
      <c r="A283" s="21" t="s">
        <v>1831</v>
      </c>
      <c r="B283" s="21" t="s">
        <v>1832</v>
      </c>
    </row>
    <row r="284" spans="1:2" x14ac:dyDescent="0.2">
      <c r="A284" s="21" t="s">
        <v>1833</v>
      </c>
      <c r="B284" s="21" t="s">
        <v>1834</v>
      </c>
    </row>
    <row r="285" spans="1:2" x14ac:dyDescent="0.2">
      <c r="A285" s="21" t="s">
        <v>1835</v>
      </c>
      <c r="B285" s="21" t="s">
        <v>1836</v>
      </c>
    </row>
    <row r="286" spans="1:2" x14ac:dyDescent="0.2">
      <c r="A286" s="21" t="s">
        <v>1837</v>
      </c>
      <c r="B286" s="21" t="s">
        <v>1838</v>
      </c>
    </row>
    <row r="287" spans="1:2" x14ac:dyDescent="0.2">
      <c r="A287" s="21" t="s">
        <v>1839</v>
      </c>
      <c r="B287" s="21" t="s">
        <v>1840</v>
      </c>
    </row>
    <row r="288" spans="1:2" x14ac:dyDescent="0.2">
      <c r="A288" s="21" t="s">
        <v>1841</v>
      </c>
      <c r="B288" s="21" t="s">
        <v>1842</v>
      </c>
    </row>
    <row r="289" spans="1:2" x14ac:dyDescent="0.2">
      <c r="A289" s="21" t="s">
        <v>1843</v>
      </c>
      <c r="B289" s="21" t="s">
        <v>1844</v>
      </c>
    </row>
    <row r="290" spans="1:2" x14ac:dyDescent="0.2">
      <c r="A290" s="21" t="s">
        <v>1845</v>
      </c>
      <c r="B290" s="21" t="s">
        <v>1846</v>
      </c>
    </row>
    <row r="291" spans="1:2" x14ac:dyDescent="0.2">
      <c r="A291" s="21" t="s">
        <v>1847</v>
      </c>
      <c r="B291" s="21" t="s">
        <v>1848</v>
      </c>
    </row>
    <row r="292" spans="1:2" x14ac:dyDescent="0.2">
      <c r="A292" s="21" t="s">
        <v>1849</v>
      </c>
      <c r="B292" s="21" t="s">
        <v>1850</v>
      </c>
    </row>
    <row r="293" spans="1:2" x14ac:dyDescent="0.2">
      <c r="A293" s="21" t="s">
        <v>1851</v>
      </c>
      <c r="B293" s="21" t="s">
        <v>1852</v>
      </c>
    </row>
    <row r="294" spans="1:2" x14ac:dyDescent="0.2">
      <c r="A294" s="21" t="s">
        <v>1853</v>
      </c>
      <c r="B294" s="21" t="s">
        <v>1854</v>
      </c>
    </row>
    <row r="295" spans="1:2" x14ac:dyDescent="0.2">
      <c r="A295" s="21" t="s">
        <v>1855</v>
      </c>
      <c r="B295" s="21" t="s">
        <v>1856</v>
      </c>
    </row>
    <row r="296" spans="1:2" x14ac:dyDescent="0.2">
      <c r="A296" s="21" t="s">
        <v>1857</v>
      </c>
      <c r="B296" s="21" t="s">
        <v>1858</v>
      </c>
    </row>
    <row r="297" spans="1:2" x14ac:dyDescent="0.2">
      <c r="A297" s="21" t="s">
        <v>1859</v>
      </c>
      <c r="B297" s="21" t="s">
        <v>1860</v>
      </c>
    </row>
    <row r="298" spans="1:2" x14ac:dyDescent="0.2">
      <c r="A298" s="21" t="s">
        <v>1861</v>
      </c>
      <c r="B298" s="21" t="s">
        <v>1862</v>
      </c>
    </row>
    <row r="299" spans="1:2" x14ac:dyDescent="0.2">
      <c r="A299" s="21" t="s">
        <v>1863</v>
      </c>
      <c r="B299" s="21" t="s">
        <v>1864</v>
      </c>
    </row>
    <row r="300" spans="1:2" x14ac:dyDescent="0.2">
      <c r="A300" s="21" t="s">
        <v>1865</v>
      </c>
      <c r="B300" s="21" t="s">
        <v>1866</v>
      </c>
    </row>
    <row r="301" spans="1:2" x14ac:dyDescent="0.2">
      <c r="A301" s="21" t="s">
        <v>1867</v>
      </c>
      <c r="B301" s="21" t="s">
        <v>1868</v>
      </c>
    </row>
    <row r="302" spans="1:2" x14ac:dyDescent="0.2">
      <c r="A302" s="21" t="s">
        <v>1869</v>
      </c>
      <c r="B302" s="21" t="s">
        <v>1870</v>
      </c>
    </row>
    <row r="303" spans="1:2" x14ac:dyDescent="0.2">
      <c r="A303" s="21" t="s">
        <v>1871</v>
      </c>
      <c r="B303" s="21" t="s">
        <v>1872</v>
      </c>
    </row>
    <row r="304" spans="1:2" x14ac:dyDescent="0.2">
      <c r="A304" s="21" t="s">
        <v>1873</v>
      </c>
      <c r="B304" s="21" t="s">
        <v>1874</v>
      </c>
    </row>
    <row r="305" spans="1:2" x14ac:dyDescent="0.2">
      <c r="A305" s="21" t="s">
        <v>1875</v>
      </c>
      <c r="B305" s="21" t="s">
        <v>1876</v>
      </c>
    </row>
    <row r="306" spans="1:2" x14ac:dyDescent="0.2">
      <c r="A306" s="21" t="s">
        <v>1877</v>
      </c>
      <c r="B306" s="21" t="s">
        <v>1878</v>
      </c>
    </row>
    <row r="307" spans="1:2" x14ac:dyDescent="0.2">
      <c r="A307" s="21" t="s">
        <v>1879</v>
      </c>
      <c r="B307" s="21" t="s">
        <v>1880</v>
      </c>
    </row>
    <row r="308" spans="1:2" x14ac:dyDescent="0.2">
      <c r="A308" s="21" t="s">
        <v>1881</v>
      </c>
      <c r="B308" s="21" t="s">
        <v>1882</v>
      </c>
    </row>
    <row r="309" spans="1:2" x14ac:dyDescent="0.2">
      <c r="A309" s="21" t="s">
        <v>1883</v>
      </c>
      <c r="B309" s="21" t="s">
        <v>1884</v>
      </c>
    </row>
    <row r="310" spans="1:2" x14ac:dyDescent="0.2">
      <c r="A310" s="21" t="s">
        <v>1885</v>
      </c>
      <c r="B310" s="21" t="s">
        <v>1886</v>
      </c>
    </row>
    <row r="311" spans="1:2" x14ac:dyDescent="0.2">
      <c r="A311" s="21" t="s">
        <v>1887</v>
      </c>
      <c r="B311" s="21" t="s">
        <v>1888</v>
      </c>
    </row>
    <row r="312" spans="1:2" x14ac:dyDescent="0.2">
      <c r="A312" s="21" t="s">
        <v>1889</v>
      </c>
      <c r="B312" s="21" t="s">
        <v>1890</v>
      </c>
    </row>
    <row r="313" spans="1:2" x14ac:dyDescent="0.2">
      <c r="A313" s="21" t="s">
        <v>1891</v>
      </c>
      <c r="B313" s="21" t="s">
        <v>1892</v>
      </c>
    </row>
    <row r="314" spans="1:2" x14ac:dyDescent="0.2">
      <c r="A314" s="21" t="s">
        <v>1893</v>
      </c>
      <c r="B314" s="21" t="s">
        <v>1894</v>
      </c>
    </row>
    <row r="315" spans="1:2" x14ac:dyDescent="0.2">
      <c r="A315" s="21" t="s">
        <v>1895</v>
      </c>
      <c r="B315" s="21" t="s">
        <v>1896</v>
      </c>
    </row>
    <row r="316" spans="1:2" x14ac:dyDescent="0.2">
      <c r="A316" s="21" t="s">
        <v>1897</v>
      </c>
      <c r="B316" s="21" t="s">
        <v>1898</v>
      </c>
    </row>
    <row r="317" spans="1:2" x14ac:dyDescent="0.2">
      <c r="A317" s="21" t="s">
        <v>1899</v>
      </c>
      <c r="B317" s="21" t="s">
        <v>1900</v>
      </c>
    </row>
    <row r="318" spans="1:2" x14ac:dyDescent="0.2">
      <c r="A318" s="21" t="s">
        <v>1901</v>
      </c>
      <c r="B318" s="21" t="s">
        <v>1902</v>
      </c>
    </row>
    <row r="319" spans="1:2" x14ac:dyDescent="0.2">
      <c r="A319" s="21" t="s">
        <v>1903</v>
      </c>
      <c r="B319" s="21" t="s">
        <v>1904</v>
      </c>
    </row>
    <row r="320" spans="1:2" x14ac:dyDescent="0.2">
      <c r="A320" s="21" t="s">
        <v>1905</v>
      </c>
      <c r="B320" s="21" t="s">
        <v>1906</v>
      </c>
    </row>
    <row r="321" spans="1:2" x14ac:dyDescent="0.2">
      <c r="A321" s="21" t="s">
        <v>1907</v>
      </c>
      <c r="B321" s="21" t="s">
        <v>1908</v>
      </c>
    </row>
    <row r="322" spans="1:2" x14ac:dyDescent="0.2">
      <c r="A322" s="21" t="s">
        <v>1909</v>
      </c>
      <c r="B322" s="21" t="s">
        <v>1910</v>
      </c>
    </row>
    <row r="323" spans="1:2" x14ac:dyDescent="0.2">
      <c r="A323" s="21" t="s">
        <v>1911</v>
      </c>
      <c r="B323" s="21" t="s">
        <v>1912</v>
      </c>
    </row>
    <row r="324" spans="1:2" x14ac:dyDescent="0.2">
      <c r="A324" s="21" t="s">
        <v>1913</v>
      </c>
      <c r="B324" s="21" t="s">
        <v>1914</v>
      </c>
    </row>
    <row r="325" spans="1:2" x14ac:dyDescent="0.2">
      <c r="A325" s="21" t="s">
        <v>1915</v>
      </c>
      <c r="B325" s="21" t="s">
        <v>1916</v>
      </c>
    </row>
    <row r="326" spans="1:2" x14ac:dyDescent="0.2">
      <c r="A326" s="21" t="s">
        <v>1917</v>
      </c>
      <c r="B326" s="21" t="s">
        <v>1918</v>
      </c>
    </row>
    <row r="327" spans="1:2" x14ac:dyDescent="0.2">
      <c r="A327" s="21" t="s">
        <v>1919</v>
      </c>
      <c r="B327" s="21" t="s">
        <v>1920</v>
      </c>
    </row>
    <row r="328" spans="1:2" x14ac:dyDescent="0.2">
      <c r="A328" s="21" t="s">
        <v>1921</v>
      </c>
      <c r="B328" s="21" t="s">
        <v>1922</v>
      </c>
    </row>
    <row r="329" spans="1:2" x14ac:dyDescent="0.2">
      <c r="A329" s="21" t="s">
        <v>1923</v>
      </c>
      <c r="B329" s="21" t="s">
        <v>1924</v>
      </c>
    </row>
    <row r="330" spans="1:2" x14ac:dyDescent="0.2">
      <c r="A330" s="21" t="s">
        <v>1925</v>
      </c>
      <c r="B330" s="21" t="s">
        <v>1926</v>
      </c>
    </row>
    <row r="331" spans="1:2" x14ac:dyDescent="0.2">
      <c r="A331" s="21" t="s">
        <v>1927</v>
      </c>
      <c r="B331" s="21" t="s">
        <v>1928</v>
      </c>
    </row>
    <row r="332" spans="1:2" x14ac:dyDescent="0.2">
      <c r="A332" s="21" t="s">
        <v>1929</v>
      </c>
      <c r="B332" s="21" t="s">
        <v>1930</v>
      </c>
    </row>
    <row r="333" spans="1:2" x14ac:dyDescent="0.2">
      <c r="A333" s="21" t="s">
        <v>1931</v>
      </c>
      <c r="B333" s="21" t="s">
        <v>1932</v>
      </c>
    </row>
    <row r="334" spans="1:2" x14ac:dyDescent="0.2">
      <c r="A334" s="21" t="s">
        <v>1933</v>
      </c>
      <c r="B334" s="21" t="s">
        <v>1934</v>
      </c>
    </row>
    <row r="335" spans="1:2" x14ac:dyDescent="0.2">
      <c r="A335" s="21" t="s">
        <v>1935</v>
      </c>
      <c r="B335" s="21" t="s">
        <v>1936</v>
      </c>
    </row>
    <row r="336" spans="1:2" x14ac:dyDescent="0.2">
      <c r="A336" s="21" t="s">
        <v>1937</v>
      </c>
      <c r="B336" s="21" t="s">
        <v>1938</v>
      </c>
    </row>
    <row r="337" spans="1:2" x14ac:dyDescent="0.2">
      <c r="A337" s="21" t="s">
        <v>1939</v>
      </c>
      <c r="B337" s="21" t="s">
        <v>1940</v>
      </c>
    </row>
    <row r="338" spans="1:2" x14ac:dyDescent="0.2">
      <c r="A338" s="21" t="s">
        <v>1941</v>
      </c>
      <c r="B338" s="21" t="s">
        <v>1942</v>
      </c>
    </row>
    <row r="339" spans="1:2" x14ac:dyDescent="0.2">
      <c r="A339" s="21" t="s">
        <v>1943</v>
      </c>
      <c r="B339" s="21" t="s">
        <v>1944</v>
      </c>
    </row>
    <row r="340" spans="1:2" x14ac:dyDescent="0.2">
      <c r="A340" s="21" t="s">
        <v>1943</v>
      </c>
      <c r="B340" s="21" t="s">
        <v>1945</v>
      </c>
    </row>
    <row r="341" spans="1:2" x14ac:dyDescent="0.2">
      <c r="A341" s="21" t="s">
        <v>1943</v>
      </c>
      <c r="B341" s="21" t="s">
        <v>1946</v>
      </c>
    </row>
    <row r="342" spans="1:2" x14ac:dyDescent="0.2">
      <c r="A342" s="21" t="s">
        <v>1947</v>
      </c>
      <c r="B342" s="21" t="s">
        <v>1948</v>
      </c>
    </row>
    <row r="343" spans="1:2" x14ac:dyDescent="0.2">
      <c r="A343" s="21" t="s">
        <v>1947</v>
      </c>
      <c r="B343" s="21" t="s">
        <v>1949</v>
      </c>
    </row>
    <row r="344" spans="1:2" x14ac:dyDescent="0.2">
      <c r="A344" s="21" t="s">
        <v>1950</v>
      </c>
      <c r="B344" s="21" t="s">
        <v>1951</v>
      </c>
    </row>
    <row r="345" spans="1:2" x14ac:dyDescent="0.2">
      <c r="A345" s="21" t="s">
        <v>1952</v>
      </c>
      <c r="B345" s="21" t="s">
        <v>1953</v>
      </c>
    </row>
    <row r="346" spans="1:2" x14ac:dyDescent="0.2">
      <c r="A346" s="21" t="s">
        <v>1954</v>
      </c>
      <c r="B346" s="21" t="s">
        <v>1955</v>
      </c>
    </row>
    <row r="347" spans="1:2" x14ac:dyDescent="0.2">
      <c r="A347" s="21" t="s">
        <v>1956</v>
      </c>
      <c r="B347" s="21" t="s">
        <v>1957</v>
      </c>
    </row>
    <row r="348" spans="1:2" x14ac:dyDescent="0.2">
      <c r="A348" s="21" t="s">
        <v>1958</v>
      </c>
      <c r="B348" s="21" t="s">
        <v>1959</v>
      </c>
    </row>
    <row r="349" spans="1:2" x14ac:dyDescent="0.2">
      <c r="A349" s="21" t="s">
        <v>1960</v>
      </c>
      <c r="B349" s="21" t="s">
        <v>1961</v>
      </c>
    </row>
    <row r="350" spans="1:2" x14ac:dyDescent="0.2">
      <c r="A350" s="21" t="s">
        <v>1962</v>
      </c>
      <c r="B350" s="21" t="s">
        <v>1963</v>
      </c>
    </row>
    <row r="351" spans="1:2" x14ac:dyDescent="0.2">
      <c r="A351" s="21" t="s">
        <v>1964</v>
      </c>
      <c r="B351" s="21" t="s">
        <v>1965</v>
      </c>
    </row>
    <row r="352" spans="1:2" x14ac:dyDescent="0.2">
      <c r="A352" s="21" t="s">
        <v>1966</v>
      </c>
      <c r="B352" s="21" t="s">
        <v>1967</v>
      </c>
    </row>
    <row r="353" spans="1:2" x14ac:dyDescent="0.2">
      <c r="A353" s="21" t="s">
        <v>1968</v>
      </c>
      <c r="B353" s="21" t="s">
        <v>1969</v>
      </c>
    </row>
    <row r="354" spans="1:2" x14ac:dyDescent="0.2">
      <c r="A354" s="21" t="s">
        <v>1970</v>
      </c>
      <c r="B354" s="21" t="s">
        <v>1971</v>
      </c>
    </row>
    <row r="355" spans="1:2" x14ac:dyDescent="0.2">
      <c r="A355" s="21" t="s">
        <v>1972</v>
      </c>
      <c r="B355" s="21" t="s">
        <v>1973</v>
      </c>
    </row>
    <row r="356" spans="1:2" x14ac:dyDescent="0.2">
      <c r="A356" s="21" t="s">
        <v>1974</v>
      </c>
      <c r="B356" s="21" t="s">
        <v>1975</v>
      </c>
    </row>
    <row r="357" spans="1:2" x14ac:dyDescent="0.2">
      <c r="A357" s="21" t="s">
        <v>1976</v>
      </c>
      <c r="B357" s="21" t="s">
        <v>1977</v>
      </c>
    </row>
    <row r="358" spans="1:2" x14ac:dyDescent="0.2">
      <c r="A358" s="21" t="s">
        <v>1978</v>
      </c>
      <c r="B358" s="21" t="s">
        <v>1979</v>
      </c>
    </row>
    <row r="359" spans="1:2" x14ac:dyDescent="0.2">
      <c r="A359" s="21" t="s">
        <v>1980</v>
      </c>
      <c r="B359" s="21" t="s">
        <v>1981</v>
      </c>
    </row>
    <row r="360" spans="1:2" x14ac:dyDescent="0.2">
      <c r="A360" s="21" t="s">
        <v>1982</v>
      </c>
      <c r="B360" s="21" t="s">
        <v>1983</v>
      </c>
    </row>
    <row r="361" spans="1:2" x14ac:dyDescent="0.2">
      <c r="A361" s="21" t="s">
        <v>1984</v>
      </c>
      <c r="B361" s="21" t="s">
        <v>1985</v>
      </c>
    </row>
    <row r="362" spans="1:2" x14ac:dyDescent="0.2">
      <c r="A362" s="21" t="s">
        <v>1986</v>
      </c>
      <c r="B362" s="21" t="s">
        <v>1987</v>
      </c>
    </row>
    <row r="363" spans="1:2" x14ac:dyDescent="0.2">
      <c r="A363" s="21" t="s">
        <v>1988</v>
      </c>
      <c r="B363" s="21" t="s">
        <v>1989</v>
      </c>
    </row>
    <row r="364" spans="1:2" x14ac:dyDescent="0.2">
      <c r="A364" s="21" t="s">
        <v>1990</v>
      </c>
      <c r="B364" s="21" t="s">
        <v>1991</v>
      </c>
    </row>
    <row r="365" spans="1:2" x14ac:dyDescent="0.2">
      <c r="A365" s="21" t="s">
        <v>1992</v>
      </c>
      <c r="B365" s="21" t="s">
        <v>1993</v>
      </c>
    </row>
    <row r="366" spans="1:2" x14ac:dyDescent="0.2">
      <c r="A366" s="21" t="s">
        <v>1994</v>
      </c>
      <c r="B366" s="21" t="s">
        <v>1995</v>
      </c>
    </row>
    <row r="367" spans="1:2" x14ac:dyDescent="0.2">
      <c r="A367" s="21" t="s">
        <v>1996</v>
      </c>
      <c r="B367" s="21" t="s">
        <v>1997</v>
      </c>
    </row>
    <row r="368" spans="1:2" x14ac:dyDescent="0.2">
      <c r="A368" s="21" t="s">
        <v>1998</v>
      </c>
      <c r="B368" s="21" t="s">
        <v>1999</v>
      </c>
    </row>
    <row r="369" spans="1:2" x14ac:dyDescent="0.2">
      <c r="A369" s="21" t="s">
        <v>2000</v>
      </c>
      <c r="B369" s="21" t="s">
        <v>2001</v>
      </c>
    </row>
    <row r="370" spans="1:2" x14ac:dyDescent="0.2">
      <c r="A370" s="21" t="s">
        <v>2002</v>
      </c>
      <c r="B370" s="21" t="s">
        <v>2003</v>
      </c>
    </row>
    <row r="371" spans="1:2" x14ac:dyDescent="0.2">
      <c r="A371" s="21" t="s">
        <v>2004</v>
      </c>
      <c r="B371" s="21" t="s">
        <v>2005</v>
      </c>
    </row>
    <row r="372" spans="1:2" x14ac:dyDescent="0.2">
      <c r="A372" s="21" t="s">
        <v>2006</v>
      </c>
      <c r="B372" s="21" t="s">
        <v>2007</v>
      </c>
    </row>
    <row r="373" spans="1:2" x14ac:dyDescent="0.2">
      <c r="A373" s="21" t="s">
        <v>2008</v>
      </c>
      <c r="B373" s="21" t="s">
        <v>2009</v>
      </c>
    </row>
    <row r="374" spans="1:2" x14ac:dyDescent="0.2">
      <c r="A374" s="21" t="s">
        <v>2010</v>
      </c>
      <c r="B374" s="21" t="s">
        <v>2011</v>
      </c>
    </row>
    <row r="375" spans="1:2" x14ac:dyDescent="0.2">
      <c r="A375" s="21" t="s">
        <v>2012</v>
      </c>
      <c r="B375" s="21" t="s">
        <v>2013</v>
      </c>
    </row>
    <row r="376" spans="1:2" x14ac:dyDescent="0.2">
      <c r="A376" s="21" t="s">
        <v>2014</v>
      </c>
      <c r="B376" s="21" t="s">
        <v>2015</v>
      </c>
    </row>
    <row r="377" spans="1:2" x14ac:dyDescent="0.2">
      <c r="A377" s="21" t="s">
        <v>2016</v>
      </c>
      <c r="B377" s="21" t="s">
        <v>2017</v>
      </c>
    </row>
    <row r="378" spans="1:2" x14ac:dyDescent="0.2">
      <c r="A378" s="21" t="s">
        <v>2018</v>
      </c>
      <c r="B378" s="21" t="s">
        <v>2019</v>
      </c>
    </row>
    <row r="379" spans="1:2" x14ac:dyDescent="0.2">
      <c r="A379" s="21" t="s">
        <v>2020</v>
      </c>
      <c r="B379" s="21" t="s">
        <v>2021</v>
      </c>
    </row>
    <row r="380" spans="1:2" x14ac:dyDescent="0.2">
      <c r="A380" s="21" t="s">
        <v>2022</v>
      </c>
      <c r="B380" s="21" t="s">
        <v>2023</v>
      </c>
    </row>
    <row r="381" spans="1:2" x14ac:dyDescent="0.2">
      <c r="A381" s="21" t="s">
        <v>2024</v>
      </c>
      <c r="B381" s="21" t="s">
        <v>2025</v>
      </c>
    </row>
    <row r="382" spans="1:2" x14ac:dyDescent="0.2">
      <c r="A382" s="21" t="s">
        <v>2026</v>
      </c>
      <c r="B382" s="21" t="s">
        <v>2027</v>
      </c>
    </row>
    <row r="383" spans="1:2" x14ac:dyDescent="0.2">
      <c r="A383" s="21" t="s">
        <v>2028</v>
      </c>
      <c r="B383" s="21" t="s">
        <v>2029</v>
      </c>
    </row>
    <row r="384" spans="1:2" x14ac:dyDescent="0.2">
      <c r="A384" s="21" t="s">
        <v>2030</v>
      </c>
      <c r="B384" s="21" t="s">
        <v>2031</v>
      </c>
    </row>
    <row r="385" spans="1:2" x14ac:dyDescent="0.2">
      <c r="A385" s="21" t="s">
        <v>2032</v>
      </c>
      <c r="B385" s="21" t="s">
        <v>2033</v>
      </c>
    </row>
    <row r="386" spans="1:2" x14ac:dyDescent="0.2">
      <c r="A386" s="21" t="s">
        <v>2034</v>
      </c>
      <c r="B386" s="21" t="s">
        <v>2035</v>
      </c>
    </row>
    <row r="387" spans="1:2" x14ac:dyDescent="0.2">
      <c r="A387" s="21" t="s">
        <v>2036</v>
      </c>
      <c r="B387" s="21" t="s">
        <v>2037</v>
      </c>
    </row>
    <row r="388" spans="1:2" x14ac:dyDescent="0.2">
      <c r="A388" s="21" t="s">
        <v>2038</v>
      </c>
      <c r="B388" s="21" t="s">
        <v>2039</v>
      </c>
    </row>
    <row r="389" spans="1:2" x14ac:dyDescent="0.2">
      <c r="A389" s="21" t="s">
        <v>2040</v>
      </c>
      <c r="B389" s="21" t="s">
        <v>2041</v>
      </c>
    </row>
    <row r="390" spans="1:2" x14ac:dyDescent="0.2">
      <c r="A390" s="21" t="s">
        <v>2042</v>
      </c>
      <c r="B390" s="21" t="s">
        <v>2043</v>
      </c>
    </row>
    <row r="391" spans="1:2" x14ac:dyDescent="0.2">
      <c r="A391" s="21" t="s">
        <v>2044</v>
      </c>
      <c r="B391" s="21" t="s">
        <v>2045</v>
      </c>
    </row>
    <row r="392" spans="1:2" x14ac:dyDescent="0.2">
      <c r="A392" s="21" t="s">
        <v>2046</v>
      </c>
      <c r="B392" s="21" t="s">
        <v>2047</v>
      </c>
    </row>
    <row r="393" spans="1:2" x14ac:dyDescent="0.2">
      <c r="A393" s="21" t="s">
        <v>2048</v>
      </c>
      <c r="B393" s="21" t="s">
        <v>2049</v>
      </c>
    </row>
    <row r="394" spans="1:2" x14ac:dyDescent="0.2">
      <c r="A394" s="21" t="s">
        <v>2050</v>
      </c>
      <c r="B394" s="21" t="s">
        <v>2051</v>
      </c>
    </row>
    <row r="395" spans="1:2" x14ac:dyDescent="0.2">
      <c r="A395" s="21" t="s">
        <v>2050</v>
      </c>
      <c r="B395" s="21" t="s">
        <v>2052</v>
      </c>
    </row>
    <row r="396" spans="1:2" x14ac:dyDescent="0.2">
      <c r="A396" s="21" t="s">
        <v>2053</v>
      </c>
      <c r="B396" s="21" t="s">
        <v>2054</v>
      </c>
    </row>
    <row r="397" spans="1:2" x14ac:dyDescent="0.2">
      <c r="A397" s="21" t="s">
        <v>2055</v>
      </c>
      <c r="B397" s="21" t="s">
        <v>2056</v>
      </c>
    </row>
    <row r="398" spans="1:2" x14ac:dyDescent="0.2">
      <c r="A398" s="21" t="s">
        <v>2057</v>
      </c>
      <c r="B398" s="21" t="s">
        <v>2058</v>
      </c>
    </row>
    <row r="399" spans="1:2" x14ac:dyDescent="0.2">
      <c r="A399" s="21" t="s">
        <v>2059</v>
      </c>
      <c r="B399" s="21" t="s">
        <v>2060</v>
      </c>
    </row>
    <row r="400" spans="1:2" x14ac:dyDescent="0.2">
      <c r="A400" s="21" t="s">
        <v>2061</v>
      </c>
      <c r="B400" s="21" t="s">
        <v>2062</v>
      </c>
    </row>
    <row r="401" spans="1:2" x14ac:dyDescent="0.2">
      <c r="A401" s="21" t="s">
        <v>200</v>
      </c>
      <c r="B401" s="21" t="s">
        <v>2063</v>
      </c>
    </row>
    <row r="402" spans="1:2" x14ac:dyDescent="0.2">
      <c r="A402" s="21" t="s">
        <v>2064</v>
      </c>
      <c r="B402" s="21" t="s">
        <v>2065</v>
      </c>
    </row>
    <row r="403" spans="1:2" x14ac:dyDescent="0.2">
      <c r="A403" s="21" t="s">
        <v>2066</v>
      </c>
      <c r="B403" s="21" t="s">
        <v>2067</v>
      </c>
    </row>
    <row r="404" spans="1:2" x14ac:dyDescent="0.2">
      <c r="A404" s="21" t="s">
        <v>2068</v>
      </c>
      <c r="B404" s="21" t="s">
        <v>2069</v>
      </c>
    </row>
    <row r="405" spans="1:2" x14ac:dyDescent="0.2">
      <c r="A405" s="21" t="s">
        <v>2070</v>
      </c>
      <c r="B405" s="21" t="s">
        <v>2071</v>
      </c>
    </row>
    <row r="406" spans="1:2" x14ac:dyDescent="0.2">
      <c r="A406" s="21" t="s">
        <v>2072</v>
      </c>
      <c r="B406" s="21" t="s">
        <v>2073</v>
      </c>
    </row>
    <row r="407" spans="1:2" x14ac:dyDescent="0.2">
      <c r="A407" s="21" t="s">
        <v>2074</v>
      </c>
      <c r="B407" s="21" t="s">
        <v>2075</v>
      </c>
    </row>
    <row r="408" spans="1:2" x14ac:dyDescent="0.2">
      <c r="A408" s="21" t="s">
        <v>2076</v>
      </c>
      <c r="B408" s="21" t="s">
        <v>2077</v>
      </c>
    </row>
    <row r="409" spans="1:2" x14ac:dyDescent="0.2">
      <c r="A409" s="21" t="s">
        <v>2078</v>
      </c>
      <c r="B409" s="21" t="s">
        <v>2079</v>
      </c>
    </row>
    <row r="410" spans="1:2" x14ac:dyDescent="0.2">
      <c r="A410" s="21" t="s">
        <v>2080</v>
      </c>
      <c r="B410" s="21" t="s">
        <v>2081</v>
      </c>
    </row>
    <row r="411" spans="1:2" x14ac:dyDescent="0.2">
      <c r="A411" s="21" t="s">
        <v>2082</v>
      </c>
      <c r="B411" s="21" t="s">
        <v>2083</v>
      </c>
    </row>
    <row r="412" spans="1:2" x14ac:dyDescent="0.2">
      <c r="A412" s="21" t="s">
        <v>2084</v>
      </c>
      <c r="B412" s="21" t="s">
        <v>2085</v>
      </c>
    </row>
    <row r="413" spans="1:2" x14ac:dyDescent="0.2">
      <c r="A413" s="21" t="s">
        <v>2086</v>
      </c>
      <c r="B413" s="21" t="s">
        <v>2087</v>
      </c>
    </row>
    <row r="414" spans="1:2" x14ac:dyDescent="0.2">
      <c r="A414" s="21" t="s">
        <v>2220</v>
      </c>
      <c r="B414" s="21" t="s">
        <v>2088</v>
      </c>
    </row>
    <row r="415" spans="1:2" x14ac:dyDescent="0.2">
      <c r="A415" s="21" t="s">
        <v>2089</v>
      </c>
      <c r="B415" s="21" t="s">
        <v>2090</v>
      </c>
    </row>
    <row r="416" spans="1:2" x14ac:dyDescent="0.2">
      <c r="A416" s="21" t="s">
        <v>2091</v>
      </c>
      <c r="B416" s="21" t="s">
        <v>2092</v>
      </c>
    </row>
    <row r="417" spans="1:2" x14ac:dyDescent="0.2">
      <c r="A417" s="21" t="s">
        <v>2093</v>
      </c>
      <c r="B417" s="21" t="s">
        <v>2094</v>
      </c>
    </row>
    <row r="418" spans="1:2" x14ac:dyDescent="0.2">
      <c r="A418" s="21" t="s">
        <v>2095</v>
      </c>
      <c r="B418" s="21" t="s">
        <v>2096</v>
      </c>
    </row>
    <row r="419" spans="1:2" x14ac:dyDescent="0.2">
      <c r="A419" s="21" t="s">
        <v>2097</v>
      </c>
      <c r="B419" s="21" t="s">
        <v>2098</v>
      </c>
    </row>
    <row r="420" spans="1:2" x14ac:dyDescent="0.2">
      <c r="A420" s="21" t="s">
        <v>2099</v>
      </c>
      <c r="B420" s="21" t="s">
        <v>2100</v>
      </c>
    </row>
    <row r="421" spans="1:2" x14ac:dyDescent="0.2">
      <c r="A421" s="21" t="s">
        <v>2101</v>
      </c>
      <c r="B421" s="21" t="s">
        <v>2102</v>
      </c>
    </row>
    <row r="422" spans="1:2" x14ac:dyDescent="0.2">
      <c r="A422" s="21" t="s">
        <v>2103</v>
      </c>
      <c r="B422" s="21" t="s">
        <v>2104</v>
      </c>
    </row>
    <row r="423" spans="1:2" x14ac:dyDescent="0.2">
      <c r="A423" s="21" t="s">
        <v>2105</v>
      </c>
      <c r="B423" s="21" t="s">
        <v>2106</v>
      </c>
    </row>
    <row r="424" spans="1:2" x14ac:dyDescent="0.2">
      <c r="A424" s="21" t="s">
        <v>174</v>
      </c>
      <c r="B424" s="21" t="s">
        <v>2107</v>
      </c>
    </row>
    <row r="425" spans="1:2" x14ac:dyDescent="0.2">
      <c r="A425" s="21" t="s">
        <v>2108</v>
      </c>
      <c r="B425" s="21" t="s">
        <v>2109</v>
      </c>
    </row>
    <row r="426" spans="1:2" x14ac:dyDescent="0.2">
      <c r="A426" s="21" t="s">
        <v>2110</v>
      </c>
      <c r="B426" s="21" t="s">
        <v>2111</v>
      </c>
    </row>
    <row r="427" spans="1:2" x14ac:dyDescent="0.2">
      <c r="A427" s="21" t="s">
        <v>2112</v>
      </c>
      <c r="B427" s="21" t="s">
        <v>2113</v>
      </c>
    </row>
    <row r="428" spans="1:2" x14ac:dyDescent="0.2">
      <c r="A428" s="21" t="s">
        <v>2114</v>
      </c>
      <c r="B428" s="21" t="s">
        <v>2115</v>
      </c>
    </row>
    <row r="429" spans="1:2" x14ac:dyDescent="0.2">
      <c r="A429" s="21" t="s">
        <v>2116</v>
      </c>
      <c r="B429" s="21" t="s">
        <v>2117</v>
      </c>
    </row>
    <row r="430" spans="1:2" x14ac:dyDescent="0.2">
      <c r="A430" s="21" t="s">
        <v>2118</v>
      </c>
      <c r="B430" s="21" t="s">
        <v>2119</v>
      </c>
    </row>
    <row r="431" spans="1:2" x14ac:dyDescent="0.2">
      <c r="A431" s="21" t="s">
        <v>2120</v>
      </c>
      <c r="B431" s="21" t="s">
        <v>2121</v>
      </c>
    </row>
    <row r="432" spans="1:2" x14ac:dyDescent="0.2">
      <c r="A432" s="21" t="s">
        <v>2122</v>
      </c>
      <c r="B432" s="21" t="s">
        <v>2123</v>
      </c>
    </row>
    <row r="433" spans="1:2" x14ac:dyDescent="0.2">
      <c r="A433" s="21" t="s">
        <v>2124</v>
      </c>
      <c r="B433" s="21" t="s">
        <v>2125</v>
      </c>
    </row>
    <row r="434" spans="1:2" x14ac:dyDescent="0.2">
      <c r="A434" s="21" t="s">
        <v>2126</v>
      </c>
      <c r="B434" s="21" t="s">
        <v>2127</v>
      </c>
    </row>
    <row r="435" spans="1:2" x14ac:dyDescent="0.2">
      <c r="A435" s="21" t="s">
        <v>2128</v>
      </c>
      <c r="B435" s="21" t="s">
        <v>2129</v>
      </c>
    </row>
    <row r="436" spans="1:2" x14ac:dyDescent="0.2">
      <c r="A436" s="21" t="s">
        <v>2130</v>
      </c>
      <c r="B436" s="21" t="s">
        <v>2131</v>
      </c>
    </row>
    <row r="437" spans="1:2" x14ac:dyDescent="0.2">
      <c r="A437" s="21" t="s">
        <v>2132</v>
      </c>
      <c r="B437" s="21" t="s">
        <v>2133</v>
      </c>
    </row>
    <row r="438" spans="1:2" x14ac:dyDescent="0.2">
      <c r="A438" s="21" t="s">
        <v>2134</v>
      </c>
      <c r="B438" s="21" t="s">
        <v>2135</v>
      </c>
    </row>
    <row r="439" spans="1:2" x14ac:dyDescent="0.2">
      <c r="A439" s="21" t="s">
        <v>2136</v>
      </c>
      <c r="B439" s="21" t="s">
        <v>2137</v>
      </c>
    </row>
    <row r="440" spans="1:2" x14ac:dyDescent="0.2">
      <c r="A440" s="21" t="s">
        <v>2138</v>
      </c>
      <c r="B440" s="21" t="s">
        <v>2139</v>
      </c>
    </row>
    <row r="441" spans="1:2" x14ac:dyDescent="0.2">
      <c r="A441" s="21" t="s">
        <v>2140</v>
      </c>
      <c r="B441" s="21" t="s">
        <v>2141</v>
      </c>
    </row>
    <row r="442" spans="1:2" x14ac:dyDescent="0.2">
      <c r="A442" s="21" t="s">
        <v>2142</v>
      </c>
      <c r="B442" s="21" t="s">
        <v>2143</v>
      </c>
    </row>
    <row r="443" spans="1:2" x14ac:dyDescent="0.2">
      <c r="A443" s="21" t="s">
        <v>2144</v>
      </c>
      <c r="B443" s="21" t="s">
        <v>2145</v>
      </c>
    </row>
    <row r="444" spans="1:2" x14ac:dyDescent="0.2">
      <c r="A444" s="21" t="s">
        <v>2146</v>
      </c>
      <c r="B444" s="21" t="s">
        <v>2147</v>
      </c>
    </row>
    <row r="445" spans="1:2" x14ac:dyDescent="0.2">
      <c r="A445" s="21" t="s">
        <v>2148</v>
      </c>
      <c r="B445" s="21" t="s">
        <v>2149</v>
      </c>
    </row>
    <row r="446" spans="1:2" x14ac:dyDescent="0.2">
      <c r="A446" s="21" t="s">
        <v>2150</v>
      </c>
      <c r="B446" s="21" t="s">
        <v>2151</v>
      </c>
    </row>
    <row r="447" spans="1:2" x14ac:dyDescent="0.2">
      <c r="A447" s="21" t="s">
        <v>2152</v>
      </c>
      <c r="B447" s="21" t="s">
        <v>2153</v>
      </c>
    </row>
    <row r="448" spans="1:2" x14ac:dyDescent="0.2">
      <c r="A448" s="21" t="s">
        <v>2154</v>
      </c>
      <c r="B448" s="21" t="s">
        <v>2155</v>
      </c>
    </row>
    <row r="449" spans="1:2" x14ac:dyDescent="0.2">
      <c r="A449" s="21" t="s">
        <v>2156</v>
      </c>
      <c r="B449" s="21" t="s">
        <v>2157</v>
      </c>
    </row>
    <row r="450" spans="1:2" x14ac:dyDescent="0.2">
      <c r="A450" s="21" t="s">
        <v>2158</v>
      </c>
      <c r="B450" s="21" t="s">
        <v>2159</v>
      </c>
    </row>
    <row r="451" spans="1:2" x14ac:dyDescent="0.2">
      <c r="A451" s="21" t="s">
        <v>2160</v>
      </c>
      <c r="B451" s="21" t="s">
        <v>2161</v>
      </c>
    </row>
    <row r="452" spans="1:2" x14ac:dyDescent="0.2">
      <c r="A452" s="21" t="s">
        <v>2162</v>
      </c>
      <c r="B452" s="21" t="s">
        <v>2163</v>
      </c>
    </row>
    <row r="453" spans="1:2" x14ac:dyDescent="0.2">
      <c r="A453" s="21" t="s">
        <v>2164</v>
      </c>
      <c r="B453" s="21" t="s">
        <v>2165</v>
      </c>
    </row>
    <row r="454" spans="1:2" x14ac:dyDescent="0.2">
      <c r="A454" s="21" t="s">
        <v>2166</v>
      </c>
      <c r="B454" s="21" t="s">
        <v>2167</v>
      </c>
    </row>
    <row r="455" spans="1:2" x14ac:dyDescent="0.2">
      <c r="A455" s="21" t="s">
        <v>2168</v>
      </c>
      <c r="B455" s="21" t="s">
        <v>2169</v>
      </c>
    </row>
    <row r="456" spans="1:2" x14ac:dyDescent="0.2">
      <c r="A456" s="21" t="s">
        <v>2170</v>
      </c>
      <c r="B456" s="21" t="s">
        <v>2171</v>
      </c>
    </row>
    <row r="457" spans="1:2" x14ac:dyDescent="0.2">
      <c r="A457" s="21" t="s">
        <v>2172</v>
      </c>
      <c r="B457" s="21" t="s">
        <v>2173</v>
      </c>
    </row>
    <row r="458" spans="1:2" x14ac:dyDescent="0.2">
      <c r="A458" s="21" t="s">
        <v>2174</v>
      </c>
      <c r="B458" s="21" t="s">
        <v>2175</v>
      </c>
    </row>
    <row r="459" spans="1:2" x14ac:dyDescent="0.2">
      <c r="A459" s="21" t="s">
        <v>2176</v>
      </c>
      <c r="B459" s="21" t="s">
        <v>2177</v>
      </c>
    </row>
    <row r="460" spans="1:2" x14ac:dyDescent="0.2">
      <c r="A460" s="21" t="s">
        <v>2178</v>
      </c>
      <c r="B460" s="21" t="s">
        <v>2179</v>
      </c>
    </row>
    <row r="461" spans="1:2" x14ac:dyDescent="0.2">
      <c r="A461" s="21" t="s">
        <v>2180</v>
      </c>
      <c r="B461" s="21" t="s">
        <v>2181</v>
      </c>
    </row>
    <row r="462" spans="1:2" x14ac:dyDescent="0.2">
      <c r="A462" s="21" t="s">
        <v>2182</v>
      </c>
      <c r="B462" s="21" t="s">
        <v>2183</v>
      </c>
    </row>
    <row r="463" spans="1:2" x14ac:dyDescent="0.2">
      <c r="A463" s="21" t="s">
        <v>2184</v>
      </c>
      <c r="B463" s="21" t="s">
        <v>2185</v>
      </c>
    </row>
    <row r="464" spans="1:2" x14ac:dyDescent="0.2">
      <c r="A464" s="21" t="s">
        <v>2186</v>
      </c>
      <c r="B464" s="21" t="s">
        <v>2187</v>
      </c>
    </row>
    <row r="465" spans="1:2" x14ac:dyDescent="0.2">
      <c r="A465" s="21" t="s">
        <v>2188</v>
      </c>
      <c r="B465" s="21" t="s">
        <v>2189</v>
      </c>
    </row>
    <row r="466" spans="1:2" x14ac:dyDescent="0.2">
      <c r="A466" s="21" t="s">
        <v>2190</v>
      </c>
      <c r="B466" s="21" t="s">
        <v>2191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product_nodes_new_id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Christoffer Ole Olsen</dc:creator>
  <cp:lastModifiedBy>Casper V. Sørensen</cp:lastModifiedBy>
  <cp:lastPrinted>2025-11-10T06:49:34Z</cp:lastPrinted>
  <dcterms:created xsi:type="dcterms:W3CDTF">2024-04-12T11:18:50Z</dcterms:created>
  <dcterms:modified xsi:type="dcterms:W3CDTF">2026-02-12T12:19:18Z</dcterms:modified>
</cp:coreProperties>
</file>